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ichaelkakkar/Downloads/"/>
    </mc:Choice>
  </mc:AlternateContent>
  <xr:revisionPtr revIDLastSave="0" documentId="13_ncr:1_{C0CC5D10-84FF-2648-AC3C-84CE7FA4EDA2}" xr6:coauthVersionLast="47" xr6:coauthVersionMax="47" xr10:uidLastSave="{00000000-0000-0000-0000-000000000000}"/>
  <bookViews>
    <workbookView xWindow="5480" yWindow="660" windowWidth="24900" windowHeight="20400" activeTab="1" xr2:uid="{00000000-000D-0000-FFFF-FFFF00000000}"/>
  </bookViews>
  <sheets>
    <sheet name="TSMC" sheetId="6" r:id="rId1"/>
    <sheet name="Rates" sheetId="4" r:id="rId2"/>
  </sheets>
  <definedNames>
    <definedName name="solver_adj" localSheetId="0" hidden="1">TSMC!$B$21:$S$26,TSMC!$T$21:$T$26</definedName>
    <definedName name="solver_cvg" localSheetId="0" hidden="1">0.001</definedName>
    <definedName name="solver_drv" localSheetId="0" hidden="1">1</definedName>
    <definedName name="solver_dua" localSheetId="0">1</definedName>
    <definedName name="solver_eng" localSheetId="1" hidden="1">0</definedName>
    <definedName name="solver_eng" localSheetId="0" hidden="1">2</definedName>
    <definedName name="solver_est" localSheetId="0" hidden="1">1</definedName>
    <definedName name="solver_ibd" localSheetId="0">2</definedName>
    <definedName name="solver_itr" localSheetId="0" hidden="1">100</definedName>
    <definedName name="solver_lhs1" localSheetId="0" hidden="1">TSMC!$B$21:$G$26</definedName>
    <definedName name="solver_lhs10" localSheetId="0" hidden="1">TSMC!$T$21:$T$26</definedName>
    <definedName name="solver_lhs11" localSheetId="0" hidden="1">TSMC!$T$21:$T$26</definedName>
    <definedName name="solver_lhs12" localSheetId="0" hidden="1">TSMC!$U$10:$U$15</definedName>
    <definedName name="solver_lhs2" localSheetId="0" hidden="1">TSMC!$B$25:$G$25</definedName>
    <definedName name="solver_lhs3" localSheetId="0" hidden="1">TSMC!$B$26:$S$26</definedName>
    <definedName name="solver_lhs4" localSheetId="0" hidden="1">TSMC!$B$31:$B$36</definedName>
    <definedName name="solver_lhs5" localSheetId="0" hidden="1">TSMC!$B$37:$S$37</definedName>
    <definedName name="solver_lhs6" localSheetId="0" hidden="1">TSMC!$H$21:$M$26</definedName>
    <definedName name="solver_lhs7" localSheetId="0" hidden="1">TSMC!$H$23:$S$23</definedName>
    <definedName name="solver_lhs8" localSheetId="0" hidden="1">TSMC!$N$21:$S$26</definedName>
    <definedName name="solver_lhs9" localSheetId="0" hidden="1">TSMC!$N$24:$S$24</definedName>
    <definedName name="solver_lin" localSheetId="0" hidden="1">1</definedName>
    <definedName name="solver_lva" localSheetId="0">2</definedName>
    <definedName name="solver_mip" localSheetId="0" hidden="1">1000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1000</definedName>
    <definedName name="solver_num" localSheetId="0" hidden="1">10</definedName>
    <definedName name="solver_nwt" localSheetId="0" hidden="1">1</definedName>
    <definedName name="solver_ofx" localSheetId="0">2</definedName>
    <definedName name="solver_opt" localSheetId="0" hidden="1">TSMC!$F$46</definedName>
    <definedName name="solver_pre" localSheetId="0" hidden="1">0.000001</definedName>
    <definedName name="solver_pro" localSheetId="0">2</definedName>
    <definedName name="solver_rbv" localSheetId="0" hidden="1">1</definedName>
    <definedName name="solver_rel1" localSheetId="0" hidden="1">3</definedName>
    <definedName name="solver_rel10" localSheetId="0" hidden="1">5</definedName>
    <definedName name="solver_rel11" localSheetId="0" hidden="1">5</definedName>
    <definedName name="solver_rel12" localSheetId="0" hidden="1">3</definedName>
    <definedName name="solver_rel2" localSheetId="0" hidden="1">2</definedName>
    <definedName name="solver_rel3" localSheetId="0" hidden="1">2</definedName>
    <definedName name="solver_rel4" localSheetId="0" hidden="1">3</definedName>
    <definedName name="solver_rel5" localSheetId="0" hidden="1">3</definedName>
    <definedName name="solver_rel6" localSheetId="0" hidden="1">3</definedName>
    <definedName name="solver_rel7" localSheetId="0" hidden="1">2</definedName>
    <definedName name="solver_rel8" localSheetId="0" hidden="1">3</definedName>
    <definedName name="solver_rel9" localSheetId="0" hidden="1">2</definedName>
    <definedName name="solver_reo" localSheetId="0">2</definedName>
    <definedName name="solver_rep" localSheetId="0">2</definedName>
    <definedName name="solver_rhs1" localSheetId="0" hidden="1">0</definedName>
    <definedName name="solver_rhs10" localSheetId="0" hidden="1">"二進制"</definedName>
    <definedName name="solver_rhs11" localSheetId="0" hidden="1">"二進制"</definedName>
    <definedName name="solver_rhs12" localSheetId="0" hidden="1">TSMC!$U$21:$U$26</definedName>
    <definedName name="solver_rhs2" localSheetId="0" hidden="1">0</definedName>
    <definedName name="solver_rhs3" localSheetId="0" hidden="1">0</definedName>
    <definedName name="solver_rhs4" localSheetId="0" hidden="1">0</definedName>
    <definedName name="solver_rhs5" localSheetId="0" hidden="1">0</definedName>
    <definedName name="solver_rhs6" localSheetId="0" hidden="1">0</definedName>
    <definedName name="solver_rhs7" localSheetId="0" hidden="1">0</definedName>
    <definedName name="solver_rhs8" localSheetId="0" hidden="1">0</definedName>
    <definedName name="solver_rhs9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0</definedName>
    <definedName name="solver_tim" localSheetId="0" hidden="1">100</definedName>
    <definedName name="solver_tms" localSheetId="0">2</definedName>
    <definedName name="solver_tol" localSheetId="0" hidden="1">0.001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hZZbmAzGKXCdGzTf8IaVuokoCZjiTqiDhPnFZqEK0QI="/>
    </ext>
  </extLst>
</workbook>
</file>

<file path=xl/calcChain.xml><?xml version="1.0" encoding="utf-8"?>
<calcChain xmlns="http://schemas.openxmlformats.org/spreadsheetml/2006/main">
  <c r="C28" i="4" l="1"/>
  <c r="F85" i="4"/>
  <c r="E85" i="4"/>
  <c r="F84" i="4"/>
  <c r="E84" i="4"/>
  <c r="F83" i="4"/>
  <c r="E83" i="4"/>
  <c r="F82" i="4"/>
  <c r="E82" i="4"/>
  <c r="F81" i="4"/>
  <c r="E81" i="4"/>
  <c r="F80" i="4"/>
  <c r="E80" i="4"/>
  <c r="D67" i="4"/>
  <c r="D66" i="4"/>
  <c r="D65" i="4"/>
  <c r="D64" i="4"/>
  <c r="D63" i="4"/>
  <c r="D62" i="4"/>
  <c r="F58" i="4"/>
  <c r="E58" i="4"/>
  <c r="D58" i="4"/>
  <c r="F57" i="4"/>
  <c r="E57" i="4"/>
  <c r="D57" i="4"/>
  <c r="F56" i="4"/>
  <c r="E56" i="4"/>
  <c r="D56" i="4"/>
  <c r="F55" i="4"/>
  <c r="E55" i="4"/>
  <c r="D55" i="4"/>
  <c r="F54" i="4"/>
  <c r="E54" i="4"/>
  <c r="D54" i="4"/>
  <c r="F53" i="4"/>
  <c r="E53" i="4"/>
  <c r="D53" i="4"/>
  <c r="D45" i="4"/>
  <c r="E45" i="4"/>
  <c r="F45" i="4"/>
  <c r="D46" i="4"/>
  <c r="E46" i="4"/>
  <c r="F46" i="4"/>
  <c r="D47" i="4"/>
  <c r="E47" i="4"/>
  <c r="F47" i="4"/>
  <c r="D48" i="4"/>
  <c r="E48" i="4"/>
  <c r="F48" i="4"/>
  <c r="D49" i="4"/>
  <c r="E49" i="4"/>
  <c r="F49" i="4"/>
  <c r="E44" i="4"/>
  <c r="F44" i="4"/>
  <c r="D44" i="4"/>
  <c r="J46" i="6"/>
  <c r="I46" i="6"/>
  <c r="B36" i="6"/>
  <c r="B35" i="6"/>
  <c r="B34" i="6"/>
  <c r="B33" i="6"/>
  <c r="B32" i="6"/>
  <c r="B31" i="6"/>
  <c r="D28" i="4"/>
  <c r="C46" i="6" l="1"/>
  <c r="U26" i="6"/>
  <c r="U25" i="6"/>
  <c r="U24" i="6"/>
  <c r="U23" i="6"/>
  <c r="U22" i="6"/>
  <c r="U21" i="6"/>
  <c r="N16" i="6" a="1"/>
  <c r="U12" i="6"/>
  <c r="U11" i="6"/>
  <c r="U10" i="6"/>
  <c r="M27" i="4"/>
  <c r="C44" i="4"/>
  <c r="D32" i="4"/>
  <c r="E32" i="4"/>
  <c r="C32" i="4"/>
  <c r="B36" i="4"/>
  <c r="D24" i="4"/>
  <c r="M29" i="4"/>
  <c r="N29" i="4"/>
  <c r="O29" i="4"/>
  <c r="P29" i="4"/>
  <c r="Q29" i="4"/>
  <c r="R29" i="4"/>
  <c r="M28" i="4"/>
  <c r="N28" i="4"/>
  <c r="O28" i="4"/>
  <c r="P28" i="4"/>
  <c r="Q28" i="4"/>
  <c r="R28" i="4"/>
  <c r="R27" i="4"/>
  <c r="Q27" i="4"/>
  <c r="P27" i="4"/>
  <c r="O27" i="4"/>
  <c r="N27" i="4"/>
  <c r="H56" i="4"/>
  <c r="I56" i="4"/>
  <c r="G57" i="4"/>
  <c r="G62" i="4"/>
  <c r="E92" i="4"/>
  <c r="H92" i="4" s="1"/>
  <c r="E93" i="4"/>
  <c r="H93" i="4" s="1"/>
  <c r="E89" i="4"/>
  <c r="C14" i="4" s="1"/>
  <c r="E74" i="4"/>
  <c r="D75" i="4"/>
  <c r="E71" i="4"/>
  <c r="D71" i="4"/>
  <c r="B14" i="4" s="1"/>
  <c r="F93" i="4"/>
  <c r="I93" i="4" s="1"/>
  <c r="H83" i="4"/>
  <c r="H85" i="4"/>
  <c r="I85" i="4"/>
  <c r="D89" i="4"/>
  <c r="F89" i="4"/>
  <c r="G54" i="4"/>
  <c r="E90" i="4"/>
  <c r="D91" i="4"/>
  <c r="G91" i="4" s="1"/>
  <c r="F91" i="4"/>
  <c r="I91" i="4" s="1"/>
  <c r="D74" i="4"/>
  <c r="G74" i="4" s="1"/>
  <c r="F92" i="4"/>
  <c r="D93" i="4"/>
  <c r="G93" i="4" s="1"/>
  <c r="H57" i="4"/>
  <c r="D94" i="4"/>
  <c r="G94" i="4" s="1"/>
  <c r="E94" i="4"/>
  <c r="F94" i="4"/>
  <c r="I94" i="4" s="1"/>
  <c r="Y28" i="4" a="1"/>
  <c r="I46" i="4"/>
  <c r="Y31" i="4" a="1"/>
  <c r="Y27" i="4" a="1"/>
  <c r="S27" i="4" a="1"/>
  <c r="S28" i="4" a="1"/>
  <c r="G45" i="4"/>
  <c r="G46" i="4"/>
  <c r="H45" i="4"/>
  <c r="I45" i="4"/>
  <c r="C30" i="4"/>
  <c r="D33" i="4"/>
  <c r="E34" i="4"/>
  <c r="C33" i="4"/>
  <c r="C35" i="4"/>
  <c r="D30" i="4"/>
  <c r="C85" i="4"/>
  <c r="C84" i="4"/>
  <c r="I84" i="4" s="1"/>
  <c r="C83" i="4"/>
  <c r="C82" i="4"/>
  <c r="C81" i="4"/>
  <c r="C80" i="4"/>
  <c r="E28" i="4"/>
  <c r="F23" i="4"/>
  <c r="C25" i="4"/>
  <c r="C94" i="4"/>
  <c r="C93" i="4"/>
  <c r="C92" i="4"/>
  <c r="C91" i="4"/>
  <c r="C90" i="4"/>
  <c r="C89" i="4"/>
  <c r="H89" i="4" s="1"/>
  <c r="C76" i="4"/>
  <c r="M11" i="4" s="1" a="1"/>
  <c r="C75" i="4"/>
  <c r="C74" i="4"/>
  <c r="C73" i="4"/>
  <c r="C72" i="4"/>
  <c r="C71" i="4"/>
  <c r="C67" i="4"/>
  <c r="C66" i="4"/>
  <c r="C65" i="4"/>
  <c r="C64" i="4"/>
  <c r="C63" i="4"/>
  <c r="G63" i="4" s="1"/>
  <c r="C62" i="4"/>
  <c r="C58" i="4"/>
  <c r="C57" i="4"/>
  <c r="C56" i="4"/>
  <c r="G56" i="4" s="1"/>
  <c r="C55" i="4"/>
  <c r="C54" i="4"/>
  <c r="C53" i="4"/>
  <c r="C49" i="4"/>
  <c r="I49" i="4" s="1"/>
  <c r="C48" i="4"/>
  <c r="C47" i="4"/>
  <c r="C46" i="4"/>
  <c r="C45" i="4"/>
  <c r="S31" i="4" a="1"/>
  <c r="D76" i="4"/>
  <c r="H54" i="4"/>
  <c r="E73" i="4"/>
  <c r="H73" i="4" s="1"/>
  <c r="F90" i="4"/>
  <c r="D73" i="4"/>
  <c r="G73" i="4" s="1"/>
  <c r="E72" i="4"/>
  <c r="H72" i="4" s="1"/>
  <c r="E91" i="4"/>
  <c r="H91" i="4" s="1"/>
  <c r="H58" i="4"/>
  <c r="E76" i="4"/>
  <c r="E75" i="4"/>
  <c r="H75" i="4" s="1"/>
  <c r="I44" i="4"/>
  <c r="S8" i="4" a="1"/>
  <c r="C34" i="4"/>
  <c r="E31" i="4"/>
  <c r="D34" i="4"/>
  <c r="E33" i="4"/>
  <c r="C31" i="4"/>
  <c r="D31" i="4"/>
  <c r="E35" i="4"/>
  <c r="E30" i="4"/>
  <c r="D35" i="4"/>
  <c r="G71" i="4" l="1"/>
  <c r="I47" i="4"/>
  <c r="I48" i="4"/>
  <c r="G64" i="4"/>
  <c r="G65" i="4"/>
  <c r="G53" i="4"/>
  <c r="D92" i="4"/>
  <c r="D72" i="4"/>
  <c r="G72" i="4" s="1"/>
  <c r="D90" i="4"/>
  <c r="G90" i="4" s="1"/>
  <c r="I10" i="6"/>
  <c r="M10" i="4" a="1"/>
  <c r="J10" i="6"/>
  <c r="AA14" i="4"/>
  <c r="AB14" i="4"/>
  <c r="AC14" i="4"/>
  <c r="O37" i="6"/>
  <c r="AD14" i="4"/>
  <c r="P37" i="6"/>
  <c r="Q37" i="6"/>
  <c r="R37" i="6"/>
  <c r="Z14" i="4"/>
  <c r="S37" i="6"/>
  <c r="M9" i="4" a="1"/>
  <c r="I89" i="4"/>
  <c r="H80" i="4"/>
  <c r="K10" i="6"/>
  <c r="S11" i="4" a="1"/>
  <c r="M10" i="6"/>
  <c r="G44" i="4"/>
  <c r="G76" i="4"/>
  <c r="G47" i="4"/>
  <c r="H49" i="4"/>
  <c r="G67" i="4"/>
  <c r="I83" i="4"/>
  <c r="I92" i="4"/>
  <c r="Y12" i="4" a="1"/>
  <c r="G66" i="4"/>
  <c r="S9" i="4" a="1"/>
  <c r="H48" i="4"/>
  <c r="I55" i="4"/>
  <c r="I53" i="4"/>
  <c r="H47" i="4"/>
  <c r="I58" i="4"/>
  <c r="H55" i="4"/>
  <c r="I82" i="4"/>
  <c r="H84" i="4"/>
  <c r="H53" i="4"/>
  <c r="S12" i="4" a="1"/>
  <c r="H71" i="4"/>
  <c r="H46" i="4"/>
  <c r="H94" i="4"/>
  <c r="G55" i="4"/>
  <c r="H82" i="4"/>
  <c r="G75" i="4"/>
  <c r="Y8" i="4" a="1"/>
  <c r="L10" i="6"/>
  <c r="I90" i="4"/>
  <c r="G49" i="4"/>
  <c r="G58" i="4"/>
  <c r="I54" i="4"/>
  <c r="I81" i="4"/>
  <c r="H74" i="4"/>
  <c r="I80" i="4"/>
  <c r="Y9" i="4" a="1"/>
  <c r="M8" i="4" a="1"/>
  <c r="G89" i="4"/>
  <c r="G92" i="4"/>
  <c r="H44" i="4"/>
  <c r="H76" i="4"/>
  <c r="G48" i="4"/>
  <c r="I57" i="4"/>
  <c r="H90" i="4"/>
  <c r="H81" i="4"/>
  <c r="H16" i="6" a="1"/>
  <c r="C36" i="4"/>
  <c r="B16" i="6" a="1"/>
  <c r="M30" i="4" a="1"/>
  <c r="E13" i="6" s="1"/>
  <c r="S30" i="4" a="1"/>
  <c r="E36" i="4"/>
  <c r="D36" i="4"/>
  <c r="F36" i="4" s="1"/>
  <c r="C13" i="6" l="1"/>
  <c r="D13" i="6"/>
  <c r="F13" i="6"/>
  <c r="G13" i="6"/>
  <c r="N14" i="4"/>
  <c r="Q14" i="4"/>
  <c r="C37" i="6"/>
  <c r="R14" i="4"/>
  <c r="D37" i="6"/>
  <c r="E37" i="6"/>
  <c r="F37" i="6"/>
  <c r="O14" i="4"/>
  <c r="P14" i="4"/>
  <c r="G37" i="6"/>
  <c r="X14" i="4"/>
  <c r="J37" i="6"/>
  <c r="L37" i="6"/>
  <c r="M37" i="6"/>
  <c r="T14" i="4"/>
  <c r="U14" i="4"/>
  <c r="V14" i="4"/>
  <c r="W14" i="4"/>
  <c r="I37" i="6"/>
  <c r="K37" i="6"/>
  <c r="G10" i="6"/>
  <c r="F10" i="6"/>
  <c r="E10" i="6"/>
  <c r="D10" i="6"/>
  <c r="C10" i="6"/>
  <c r="S10" i="6"/>
  <c r="R10" i="6"/>
  <c r="Q10" i="6"/>
  <c r="P10" i="6"/>
  <c r="O10" i="6"/>
  <c r="M14" i="6"/>
  <c r="L14" i="6"/>
  <c r="K14" i="6"/>
  <c r="J14" i="6"/>
  <c r="I14" i="6"/>
  <c r="G12" i="6"/>
  <c r="D12" i="6"/>
  <c r="F12" i="6"/>
  <c r="E12" i="6"/>
  <c r="C12" i="6"/>
  <c r="J11" i="6"/>
  <c r="I11" i="6"/>
  <c r="M11" i="6"/>
  <c r="L11" i="6"/>
  <c r="K11" i="6"/>
  <c r="J13" i="6"/>
  <c r="M13" i="6"/>
  <c r="L13" i="6"/>
  <c r="K13" i="6"/>
  <c r="I13" i="6"/>
  <c r="S11" i="6"/>
  <c r="R11" i="6"/>
  <c r="Q11" i="6"/>
  <c r="P11" i="6"/>
  <c r="O11" i="6"/>
  <c r="C11" i="6"/>
  <c r="G11" i="6"/>
  <c r="F11" i="6"/>
  <c r="E11" i="6"/>
  <c r="D11" i="6"/>
  <c r="R14" i="6"/>
  <c r="Q14" i="6"/>
  <c r="P14" i="6"/>
  <c r="O14" i="6"/>
  <c r="S14" i="6"/>
  <c r="Y31" i="4"/>
  <c r="S31" i="4"/>
  <c r="S30" i="4"/>
  <c r="M30" i="4"/>
  <c r="Y28" i="4"/>
  <c r="S28" i="4"/>
  <c r="Y27" i="4"/>
  <c r="S27" i="4"/>
  <c r="Y12" i="4"/>
  <c r="S12" i="4"/>
  <c r="S11" i="4"/>
  <c r="H13" i="6" s="1"/>
  <c r="M11" i="4"/>
  <c r="M10" i="4"/>
  <c r="B12" i="6" s="1"/>
  <c r="Y9" i="4"/>
  <c r="S9" i="4"/>
  <c r="M9" i="4"/>
  <c r="B11" i="6" s="1"/>
  <c r="Y8" i="4"/>
  <c r="S8" i="4"/>
  <c r="M8" i="4"/>
  <c r="B10" i="6" s="1"/>
  <c r="N16" i="6"/>
  <c r="H16" i="6"/>
  <c r="B16" i="6"/>
  <c r="B13" i="6" l="1"/>
  <c r="H10" i="6"/>
  <c r="N10" i="6"/>
  <c r="H11" i="6"/>
  <c r="N11" i="6"/>
  <c r="H14" i="6"/>
  <c r="N14" i="6"/>
  <c r="B37" i="6"/>
  <c r="M14" i="4"/>
  <c r="S14" i="4"/>
  <c r="H37" i="6"/>
  <c r="N37" i="6"/>
  <c r="Y14" i="4"/>
  <c r="H46" i="6"/>
  <c r="D46" i="6" l="1"/>
  <c r="E46" i="6"/>
  <c r="K46" i="6"/>
  <c r="F46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<sst xmlns="http://schemas.openxmlformats.org/spreadsheetml/2006/main" count="301" uniqueCount="123">
  <si>
    <t>Demand</t>
  </si>
  <si>
    <t>Unmet Demand</t>
  </si>
  <si>
    <t>Transit Cost + Unit Cost per 1,000 Units (Based Upon ABC Products for TSMC)</t>
  </si>
  <si>
    <t>Unit Costs</t>
  </si>
  <si>
    <t>A Product(2/3 NM)</t>
  </si>
  <si>
    <t>B Product(5 NM)</t>
  </si>
  <si>
    <t>C Product(7 NM)</t>
  </si>
  <si>
    <t>Associated Costs|Constraint</t>
  </si>
  <si>
    <t>Fab Location(Cities)</t>
  </si>
  <si>
    <t>Silicon</t>
  </si>
  <si>
    <t>Aus</t>
  </si>
  <si>
    <t>Shz</t>
  </si>
  <si>
    <t>Seo</t>
  </si>
  <si>
    <t>Mun</t>
  </si>
  <si>
    <t>Tok</t>
  </si>
  <si>
    <t>Fixed Value</t>
  </si>
  <si>
    <t>Constraint (Per 1,000 bathces)</t>
  </si>
  <si>
    <t>Key</t>
  </si>
  <si>
    <t>Hsinchu</t>
  </si>
  <si>
    <t>Tainan</t>
  </si>
  <si>
    <t>Kaohsiung</t>
  </si>
  <si>
    <t>All Models Weight Roughly the same</t>
  </si>
  <si>
    <t>Arizona</t>
  </si>
  <si>
    <t>Taichung</t>
  </si>
  <si>
    <t>EQ=.125KG*100000</t>
  </si>
  <si>
    <t xml:space="preserve">Japan </t>
  </si>
  <si>
    <t>TOTAL Demand</t>
  </si>
  <si>
    <t>1 Batch assumed Per 1,000 Wafer</t>
  </si>
  <si>
    <t>Cost Per Unit 1,000 (Based Upon ABC Products for TSMC)</t>
  </si>
  <si>
    <t>Not all Demand meant Due to Capacity</t>
  </si>
  <si>
    <t>Decision Point</t>
  </si>
  <si>
    <t>Location Variable</t>
  </si>
  <si>
    <t>SUM Units Used per (1,000)</t>
  </si>
  <si>
    <t>1 or 0</t>
  </si>
  <si>
    <t>ABC Products Make up or 74% of Revenue</t>
  </si>
  <si>
    <t>Means not able to be made at Site</t>
  </si>
  <si>
    <t>Products 2/3nm, 5 nm, and 7nm</t>
  </si>
  <si>
    <t>Constrains</t>
  </si>
  <si>
    <t>Excess Demand</t>
  </si>
  <si>
    <t>Results ( In Units Per 1,000 wafers)</t>
  </si>
  <si>
    <t>Total Fixed Costs</t>
  </si>
  <si>
    <t>Total Variable Cost</t>
  </si>
  <si>
    <t>Costs All together</t>
  </si>
  <si>
    <t>ss</t>
  </si>
  <si>
    <t>Baseline Information</t>
  </si>
  <si>
    <t>Node Matrix Application</t>
  </si>
  <si>
    <t>Unit weight (kg/wafer):</t>
  </si>
  <si>
    <t>According to resources</t>
  </si>
  <si>
    <t>Batch weight (kg per 100,000):</t>
  </si>
  <si>
    <t>Transport Matrix</t>
  </si>
  <si>
    <t>Fixed Value (Billions)</t>
  </si>
  <si>
    <t>Constraint (Millions)</t>
  </si>
  <si>
    <t>Baseline Assumptions</t>
  </si>
  <si>
    <t>Country Premium</t>
  </si>
  <si>
    <t>Country</t>
  </si>
  <si>
    <t>USA</t>
  </si>
  <si>
    <t>JPN</t>
  </si>
  <si>
    <t>Rates</t>
  </si>
  <si>
    <t>Cost Assumptions Per Wafer</t>
  </si>
  <si>
    <t>A Cost</t>
  </si>
  <si>
    <t>B Cost</t>
  </si>
  <si>
    <t>C Cost</t>
  </si>
  <si>
    <t>Demand Forecast</t>
  </si>
  <si>
    <t>DEMAND (300mm wafers / year)</t>
  </si>
  <si>
    <t>Taiwan Semi- ABC~74.5(Multiply by Ratio)</t>
  </si>
  <si>
    <t>ABC Total</t>
  </si>
  <si>
    <t xml:space="preserve"> A=below3nm, B=5nm, C=7nm</t>
  </si>
  <si>
    <t>~Note this is 74% of prdouct mix</t>
  </si>
  <si>
    <t>Product Cost Matrix</t>
  </si>
  <si>
    <t>Demand Forecast Allocation</t>
  </si>
  <si>
    <t>Per City Allocation (W/Ratio)</t>
  </si>
  <si>
    <t>City</t>
  </si>
  <si>
    <t>Share</t>
  </si>
  <si>
    <t>Product A</t>
  </si>
  <si>
    <t>Product B</t>
  </si>
  <si>
    <t>Product C</t>
  </si>
  <si>
    <t>Silicon Valley</t>
  </si>
  <si>
    <t>Austin</t>
  </si>
  <si>
    <t>Shenzhen</t>
  </si>
  <si>
    <t>Seoul</t>
  </si>
  <si>
    <t>Munich</t>
  </si>
  <si>
    <t>Tokyo</t>
  </si>
  <si>
    <t>TOTAL</t>
  </si>
  <si>
    <t>Total Demand</t>
  </si>
  <si>
    <t>Node Application</t>
  </si>
  <si>
    <t>HSINCHU (Taiwan) - makes A, B, C</t>
  </si>
  <si>
    <t>Shipping</t>
  </si>
  <si>
    <t>Product Cost to Make</t>
  </si>
  <si>
    <t>Total Costs</t>
  </si>
  <si>
    <t>Destination</t>
  </si>
  <si>
    <t>Rate ($/kg)</t>
  </si>
  <si>
    <t>Cost per 1,000</t>
  </si>
  <si>
    <t>A</t>
  </si>
  <si>
    <t>B</t>
  </si>
  <si>
    <t>C</t>
  </si>
  <si>
    <t>Total Variable A</t>
  </si>
  <si>
    <t>Total Variable B</t>
  </si>
  <si>
    <t>Total Variable C</t>
  </si>
  <si>
    <t>TAINAN (Taiwan) - makes A, B, C</t>
  </si>
  <si>
    <t>KAOHSIUNG (Taiwan) - makes A</t>
  </si>
  <si>
    <t>ARIZONA (US) - makes A, B</t>
  </si>
  <si>
    <t>JAPAN - makes A, B, C- Note that this cannot be made right now but it is important to know that this is a good alternative for the future</t>
  </si>
  <si>
    <t>Revenue-&gt; Demand</t>
  </si>
  <si>
    <t>https://investor.tsmc.com/english/encrypt/files/encrypt_file/reports/2026-04/a7e3abe65a3fbc342aa55f9f53a5490dd621c1ac/1Q26%20Presentation%20%28E%29.pdf</t>
  </si>
  <si>
    <t>17 Million wafers</t>
  </si>
  <si>
    <t>https://www.tsmc.com/english/dedicatedFoundry/manufacturing/fab_capacity</t>
  </si>
  <si>
    <t>Wafer Price</t>
  </si>
  <si>
    <t>https://siliconanalysts.com/guide/semiconductor-costs</t>
  </si>
  <si>
    <t>Air Frieght</t>
  </si>
  <si>
    <t>https://suaidglobal.com/insights/air-freight-cost-per-kg/</t>
  </si>
  <si>
    <t>Excess/Constraints Per Unit 1,000 (Based Upon ABC Products for TSMC)</t>
    <phoneticPr fontId="18" type="noConversion"/>
  </si>
  <si>
    <t>Links For Info and Resources</t>
    <phoneticPr fontId="18" type="noConversion"/>
  </si>
  <si>
    <t xml:space="preserve">Penalty Cost </t>
    <phoneticPr fontId="18" type="noConversion"/>
  </si>
  <si>
    <t>Opened Capacity</t>
    <phoneticPr fontId="18" type="noConversion"/>
  </si>
  <si>
    <t>Total Available Capacity</t>
    <phoneticPr fontId="18" type="noConversion"/>
  </si>
  <si>
    <t>Penalty Cost for Unmet Demand</t>
  </si>
  <si>
    <t>TSMC Fixed Location Decision With ABC Products (2/3nm, 5nm, and 7nm)</t>
  </si>
  <si>
    <t>Batch Size</t>
  </si>
  <si>
    <t>Taichung  - makes B,C</t>
  </si>
  <si>
    <t>Global total wafers (TSMC Website):</t>
  </si>
  <si>
    <t>https://www.freightos.com/freight-resources/freight-rate-free-calculator/</t>
  </si>
  <si>
    <t>Transit Rate Tables - Per Site (Saudi Market + Freightos estimates)</t>
  </si>
  <si>
    <t>Cost per 1,000 wafers = Rate(B5) x Batch Weight(B6). Batch = 1,000 wafers = 40 FOUPs = 320 kg (8 kg/loaded 25-wafer FOUP, per Wikipedia/Entegris/Semitracks). Est., not TSMC contract rates.- This is our Assumptions*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</si>
</sst>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1"/>
      <color rgb="FF242424"/>
      <name val="Aptos Narrow"/>
      <family val="2"/>
    </font>
    <font>
      <sz val="10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8"/>
      <color rgb="FF000000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i/>
      <sz val="24"/>
      <color rgb="FF000000"/>
      <name val="Arial"/>
      <family val="2"/>
      <scheme val="minor"/>
    </font>
    <font>
      <sz val="24"/>
      <color rgb="FF000000"/>
      <name val="Arial (Body)"/>
    </font>
    <font>
      <sz val="22"/>
      <color rgb="FF000000"/>
      <name val="Arial"/>
      <family val="2"/>
      <scheme val="minor"/>
    </font>
    <font>
      <sz val="24"/>
      <color rgb="FF000000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rgb="FF000000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6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44" fontId="8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176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2" fillId="2" borderId="11" xfId="0" applyFont="1" applyFill="1" applyBorder="1"/>
    <xf numFmtId="0" fontId="2" fillId="0" borderId="7" xfId="0" applyFont="1" applyBorder="1" applyAlignment="1">
      <alignment horizontal="center"/>
    </xf>
    <xf numFmtId="0" fontId="2" fillId="2" borderId="4" xfId="0" applyFont="1" applyFill="1" applyBorder="1"/>
    <xf numFmtId="0" fontId="0" fillId="0" borderId="7" xfId="0" applyBorder="1"/>
    <xf numFmtId="0" fontId="4" fillId="0" borderId="0" xfId="0" applyFont="1"/>
    <xf numFmtId="0" fontId="4" fillId="0" borderId="7" xfId="0" applyFont="1" applyBorder="1"/>
    <xf numFmtId="0" fontId="4" fillId="0" borderId="13" xfId="0" applyFont="1" applyBorder="1"/>
    <xf numFmtId="0" fontId="4" fillId="2" borderId="13" xfId="0" applyFont="1" applyFill="1" applyBorder="1"/>
    <xf numFmtId="0" fontId="4" fillId="2" borderId="12" xfId="0" applyFont="1" applyFill="1" applyBorder="1"/>
    <xf numFmtId="0" fontId="2" fillId="0" borderId="1" xfId="0" applyFont="1" applyBorder="1"/>
    <xf numFmtId="0" fontId="2" fillId="2" borderId="10" xfId="0" applyFont="1" applyFill="1" applyBorder="1"/>
    <xf numFmtId="2" fontId="0" fillId="0" borderId="0" xfId="0" applyNumberFormat="1"/>
    <xf numFmtId="0" fontId="2" fillId="2" borderId="1" xfId="0" applyFont="1" applyFill="1" applyBorder="1"/>
    <xf numFmtId="0" fontId="4" fillId="0" borderId="7" xfId="0" applyFont="1" applyBorder="1" applyAlignment="1">
      <alignment horizontal="center"/>
    </xf>
    <xf numFmtId="0" fontId="0" fillId="0" borderId="15" xfId="0" applyBorder="1"/>
    <xf numFmtId="0" fontId="2" fillId="0" borderId="16" xfId="0" applyFont="1" applyBorder="1" applyAlignment="1">
      <alignment horizontal="center"/>
    </xf>
    <xf numFmtId="0" fontId="3" fillId="0" borderId="20" xfId="0" applyFont="1" applyBorder="1"/>
    <xf numFmtId="0" fontId="2" fillId="0" borderId="21" xfId="0" applyFont="1" applyBorder="1" applyAlignment="1">
      <alignment horizontal="center"/>
    </xf>
    <xf numFmtId="0" fontId="2" fillId="0" borderId="20" xfId="0" applyFont="1" applyBorder="1"/>
    <xf numFmtId="0" fontId="2" fillId="0" borderId="22" xfId="0" applyFont="1" applyBorder="1"/>
    <xf numFmtId="0" fontId="2" fillId="2" borderId="22" xfId="0" applyFont="1" applyFill="1" applyBorder="1"/>
    <xf numFmtId="0" fontId="2" fillId="0" borderId="23" xfId="0" applyFont="1" applyBorder="1"/>
    <xf numFmtId="0" fontId="2" fillId="2" borderId="24" xfId="0" applyFont="1" applyFill="1" applyBorder="1"/>
    <xf numFmtId="0" fontId="2" fillId="2" borderId="25" xfId="0" applyFont="1" applyFill="1" applyBorder="1"/>
    <xf numFmtId="0" fontId="3" fillId="0" borderId="26" xfId="0" applyFont="1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9" xfId="0" applyFont="1" applyBorder="1"/>
    <xf numFmtId="0" fontId="2" fillId="0" borderId="30" xfId="0" applyFont="1" applyBorder="1"/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5" fillId="0" borderId="0" xfId="1"/>
    <xf numFmtId="0" fontId="2" fillId="0" borderId="7" xfId="0" applyFont="1" applyBorder="1"/>
    <xf numFmtId="0" fontId="4" fillId="0" borderId="2" xfId="0" applyFont="1" applyBorder="1"/>
    <xf numFmtId="0" fontId="4" fillId="0" borderId="10" xfId="0" applyFont="1" applyBorder="1"/>
    <xf numFmtId="0" fontId="2" fillId="0" borderId="32" xfId="0" applyFont="1" applyBorder="1" applyAlignment="1">
      <alignment horizontal="center"/>
    </xf>
    <xf numFmtId="0" fontId="4" fillId="3" borderId="13" xfId="0" applyFont="1" applyFill="1" applyBorder="1"/>
    <xf numFmtId="0" fontId="2" fillId="0" borderId="4" xfId="0" applyFont="1" applyBorder="1"/>
    <xf numFmtId="0" fontId="2" fillId="0" borderId="32" xfId="0" applyFont="1" applyBorder="1"/>
    <xf numFmtId="0" fontId="4" fillId="2" borderId="2" xfId="0" applyFont="1" applyFill="1" applyBorder="1"/>
    <xf numFmtId="0" fontId="1" fillId="0" borderId="7" xfId="0" applyFont="1" applyBorder="1"/>
    <xf numFmtId="0" fontId="4" fillId="2" borderId="7" xfId="0" applyFont="1" applyFill="1" applyBorder="1"/>
    <xf numFmtId="0" fontId="4" fillId="0" borderId="8" xfId="0" applyFont="1" applyBorder="1"/>
    <xf numFmtId="0" fontId="4" fillId="0" borderId="32" xfId="0" applyFont="1" applyBorder="1"/>
    <xf numFmtId="0" fontId="4" fillId="3" borderId="32" xfId="0" applyFont="1" applyFill="1" applyBorder="1"/>
    <xf numFmtId="0" fontId="4" fillId="2" borderId="32" xfId="0" applyFont="1" applyFill="1" applyBorder="1"/>
    <xf numFmtId="0" fontId="0" fillId="0" borderId="35" xfId="0" applyBorder="1"/>
    <xf numFmtId="0" fontId="0" fillId="0" borderId="36" xfId="0" applyBorder="1"/>
    <xf numFmtId="0" fontId="0" fillId="0" borderId="36" xfId="0" applyBorder="1" applyAlignment="1">
      <alignment horizontal="center"/>
    </xf>
    <xf numFmtId="0" fontId="4" fillId="0" borderId="36" xfId="0" applyFont="1" applyBorder="1"/>
    <xf numFmtId="0" fontId="7" fillId="0" borderId="36" xfId="0" applyFont="1" applyBorder="1"/>
    <xf numFmtId="0" fontId="0" fillId="0" borderId="37" xfId="0" applyBorder="1"/>
    <xf numFmtId="0" fontId="2" fillId="0" borderId="4" xfId="0" applyFont="1" applyBorder="1" applyAlignment="1">
      <alignment horizontal="center"/>
    </xf>
    <xf numFmtId="0" fontId="2" fillId="2" borderId="3" xfId="0" applyFont="1" applyFill="1" applyBorder="1"/>
    <xf numFmtId="0" fontId="2" fillId="0" borderId="3" xfId="0" applyFont="1" applyBorder="1" applyAlignment="1">
      <alignment horizontal="center"/>
    </xf>
    <xf numFmtId="0" fontId="2" fillId="2" borderId="32" xfId="0" applyFont="1" applyFill="1" applyBorder="1"/>
    <xf numFmtId="0" fontId="4" fillId="0" borderId="12" xfId="0" applyFont="1" applyBorder="1"/>
    <xf numFmtId="0" fontId="4" fillId="3" borderId="12" xfId="0" applyFont="1" applyFill="1" applyBorder="1"/>
    <xf numFmtId="0" fontId="2" fillId="0" borderId="3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4" borderId="32" xfId="0" applyFont="1" applyFill="1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45" xfId="0" applyBorder="1"/>
    <xf numFmtId="0" fontId="9" fillId="0" borderId="7" xfId="0" applyFont="1" applyBorder="1" applyAlignment="1">
      <alignment horizontal="center"/>
    </xf>
    <xf numFmtId="0" fontId="0" fillId="0" borderId="46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2" fillId="0" borderId="7" xfId="0" applyFont="1" applyBorder="1" applyAlignment="1">
      <alignment horizontal="left"/>
    </xf>
    <xf numFmtId="0" fontId="0" fillId="5" borderId="34" xfId="0" applyFill="1" applyBorder="1"/>
    <xf numFmtId="0" fontId="6" fillId="0" borderId="15" xfId="0" applyFont="1" applyBorder="1"/>
    <xf numFmtId="0" fontId="2" fillId="4" borderId="20" xfId="0" applyFont="1" applyFill="1" applyBorder="1"/>
    <xf numFmtId="0" fontId="2" fillId="0" borderId="47" xfId="0" applyFont="1" applyBorder="1" applyAlignment="1">
      <alignment horizontal="center"/>
    </xf>
    <xf numFmtId="0" fontId="2" fillId="4" borderId="23" xfId="0" applyFont="1" applyFill="1" applyBorder="1"/>
    <xf numFmtId="0" fontId="2" fillId="2" borderId="48" xfId="0" applyFont="1" applyFill="1" applyBorder="1"/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6" fillId="4" borderId="20" xfId="0" applyFont="1" applyFill="1" applyBorder="1"/>
    <xf numFmtId="0" fontId="4" fillId="4" borderId="47" xfId="0" applyFont="1" applyFill="1" applyBorder="1" applyAlignment="1">
      <alignment horizontal="center"/>
    </xf>
    <xf numFmtId="0" fontId="4" fillId="4" borderId="49" xfId="0" applyFont="1" applyFill="1" applyBorder="1"/>
    <xf numFmtId="0" fontId="4" fillId="0" borderId="47" xfId="0" applyFont="1" applyBorder="1"/>
    <xf numFmtId="0" fontId="4" fillId="2" borderId="47" xfId="0" applyFont="1" applyFill="1" applyBorder="1"/>
    <xf numFmtId="0" fontId="4" fillId="0" borderId="29" xfId="0" applyFont="1" applyBorder="1"/>
    <xf numFmtId="0" fontId="4" fillId="0" borderId="50" xfId="0" applyFont="1" applyBorder="1"/>
    <xf numFmtId="0" fontId="2" fillId="4" borderId="1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3" fillId="4" borderId="49" xfId="0" applyFont="1" applyFill="1" applyBorder="1"/>
    <xf numFmtId="0" fontId="2" fillId="4" borderId="52" xfId="0" applyFont="1" applyFill="1" applyBorder="1" applyAlignment="1">
      <alignment horizontal="center"/>
    </xf>
    <xf numFmtId="0" fontId="2" fillId="4" borderId="53" xfId="0" applyFont="1" applyFill="1" applyBorder="1" applyAlignment="1">
      <alignment horizontal="center"/>
    </xf>
    <xf numFmtId="0" fontId="3" fillId="0" borderId="35" xfId="0" applyFont="1" applyBorder="1"/>
    <xf numFmtId="0" fontId="1" fillId="0" borderId="56" xfId="0" applyFont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0" fontId="6" fillId="0" borderId="35" xfId="0" applyFont="1" applyBorder="1"/>
    <xf numFmtId="0" fontId="0" fillId="0" borderId="58" xfId="0" applyBorder="1"/>
    <xf numFmtId="0" fontId="4" fillId="0" borderId="58" xfId="0" applyFont="1" applyBorder="1"/>
    <xf numFmtId="0" fontId="0" fillId="0" borderId="33" xfId="0" applyBorder="1" applyAlignment="1">
      <alignment horizontal="center"/>
    </xf>
    <xf numFmtId="0" fontId="4" fillId="0" borderId="15" xfId="0" applyFont="1" applyBorder="1"/>
    <xf numFmtId="0" fontId="2" fillId="0" borderId="59" xfId="0" applyFont="1" applyBorder="1" applyAlignment="1">
      <alignment horizontal="center"/>
    </xf>
    <xf numFmtId="0" fontId="1" fillId="0" borderId="38" xfId="0" applyFont="1" applyBorder="1"/>
    <xf numFmtId="0" fontId="1" fillId="0" borderId="60" xfId="0" applyFont="1" applyBorder="1"/>
    <xf numFmtId="0" fontId="1" fillId="0" borderId="39" xfId="0" applyFont="1" applyBorder="1"/>
    <xf numFmtId="0" fontId="14" fillId="0" borderId="41" xfId="0" applyFont="1" applyBorder="1" applyAlignment="1">
      <alignment horizontal="center"/>
    </xf>
    <xf numFmtId="0" fontId="4" fillId="4" borderId="34" xfId="0" applyFont="1" applyFill="1" applyBorder="1"/>
    <xf numFmtId="0" fontId="0" fillId="6" borderId="35" xfId="0" applyFill="1" applyBorder="1"/>
    <xf numFmtId="0" fontId="2" fillId="0" borderId="7" xfId="0" applyFont="1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41" xfId="0" applyBorder="1" applyAlignment="1">
      <alignment horizontal="center" vertical="top"/>
    </xf>
    <xf numFmtId="0" fontId="0" fillId="0" borderId="40" xfId="0" applyBorder="1" applyAlignment="1">
      <alignment horizontal="center" vertical="top"/>
    </xf>
    <xf numFmtId="0" fontId="0" fillId="0" borderId="42" xfId="0" applyBorder="1" applyAlignment="1">
      <alignment horizontal="center" vertical="top"/>
    </xf>
    <xf numFmtId="0" fontId="4" fillId="4" borderId="63" xfId="0" applyFont="1" applyFill="1" applyBorder="1" applyAlignment="1">
      <alignment horizontal="center" vertical="top"/>
    </xf>
    <xf numFmtId="0" fontId="4" fillId="4" borderId="64" xfId="0" applyFont="1" applyFill="1" applyBorder="1" applyAlignment="1">
      <alignment horizontal="center" vertical="top"/>
    </xf>
    <xf numFmtId="0" fontId="4" fillId="4" borderId="65" xfId="0" applyFont="1" applyFill="1" applyBorder="1" applyAlignment="1">
      <alignment horizontal="center" vertical="top"/>
    </xf>
    <xf numFmtId="44" fontId="4" fillId="0" borderId="40" xfId="2" applyFont="1" applyBorder="1" applyAlignment="1">
      <alignment horizontal="center" vertical="top"/>
    </xf>
    <xf numFmtId="44" fontId="2" fillId="0" borderId="41" xfId="2" applyFont="1" applyBorder="1" applyAlignment="1">
      <alignment horizontal="center" vertical="top"/>
    </xf>
    <xf numFmtId="44" fontId="0" fillId="0" borderId="42" xfId="2" applyFont="1" applyBorder="1" applyAlignment="1">
      <alignment horizontal="center" vertical="top"/>
    </xf>
    <xf numFmtId="44" fontId="0" fillId="0" borderId="41" xfId="2" applyFont="1" applyBorder="1" applyAlignment="1">
      <alignment horizontal="center" vertical="top"/>
    </xf>
    <xf numFmtId="44" fontId="0" fillId="0" borderId="0" xfId="2" applyFont="1" applyAlignment="1">
      <alignment horizontal="left"/>
    </xf>
    <xf numFmtId="0" fontId="0" fillId="0" borderId="0" xfId="0" applyAlignment="1">
      <alignment horizontal="center"/>
    </xf>
    <xf numFmtId="44" fontId="0" fillId="0" borderId="0" xfId="2" applyFont="1"/>
    <xf numFmtId="44" fontId="0" fillId="0" borderId="7" xfId="2" applyFont="1" applyBorder="1"/>
    <xf numFmtId="44" fontId="0" fillId="0" borderId="0" xfId="2" applyFont="1" applyAlignment="1">
      <alignment horizontal="center"/>
    </xf>
    <xf numFmtId="0" fontId="0" fillId="0" borderId="33" xfId="0" applyBorder="1"/>
    <xf numFmtId="0" fontId="2" fillId="0" borderId="57" xfId="0" applyFont="1" applyBorder="1" applyAlignment="1">
      <alignment horizontal="center" vertical="center"/>
    </xf>
    <xf numFmtId="0" fontId="2" fillId="4" borderId="64" xfId="0" applyFont="1" applyFill="1" applyBorder="1" applyAlignment="1">
      <alignment horizontal="center" vertical="center"/>
    </xf>
    <xf numFmtId="0" fontId="2" fillId="4" borderId="65" xfId="0" applyFont="1" applyFill="1" applyBorder="1" applyAlignment="1">
      <alignment horizontal="center" vertical="center"/>
    </xf>
    <xf numFmtId="0" fontId="4" fillId="4" borderId="65" xfId="0" applyFont="1" applyFill="1" applyBorder="1" applyAlignment="1">
      <alignment horizontal="center" vertical="center"/>
    </xf>
    <xf numFmtId="0" fontId="2" fillId="4" borderId="63" xfId="0" applyFont="1" applyFill="1" applyBorder="1" applyAlignment="1">
      <alignment horizontal="center" vertical="center"/>
    </xf>
    <xf numFmtId="10" fontId="0" fillId="0" borderId="33" xfId="3" applyNumberFormat="1" applyFont="1" applyBorder="1"/>
    <xf numFmtId="0" fontId="4" fillId="0" borderId="33" xfId="0" applyFont="1" applyBorder="1"/>
    <xf numFmtId="0" fontId="0" fillId="0" borderId="41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17" fillId="0" borderId="3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0" fontId="9" fillId="0" borderId="38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2" fillId="0" borderId="55" xfId="0" applyFont="1" applyBorder="1" applyAlignment="1">
      <alignment horizontal="center"/>
    </xf>
    <xf numFmtId="0" fontId="1" fillId="0" borderId="36" xfId="0" applyFont="1" applyBorder="1"/>
    <xf numFmtId="0" fontId="1" fillId="0" borderId="54" xfId="0" applyFont="1" applyBorder="1"/>
    <xf numFmtId="0" fontId="1" fillId="0" borderId="37" xfId="0" applyFont="1" applyBorder="1"/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470D30-B8FB-BF4E-9915-209AF090EE4A}">
  <we:reference id="0986d9dd-94f1-4b67-978d-c4cf6e6142a8" version="25.2.0.0" store="EXCatalog" storeType="EXCatalog"/>
  <we:alternateReferences>
    <we:reference id="WA200000018" version="25.2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PSIMETALOG2</we:customFunctionIds>
        <we:customFunctionIds>PSIMETALOGSPT</we:customFunctionIds>
        <we:customFunctionIds>PSIMETALOGFIT</we:customFunctionIds>
        <we:customFunctionIds>PSIMETALOG2FIT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PSILEVYALT</we:customFunctionIds>
        <we:customFunctionIds>PSIHYPSECANTALT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uaidglobal.com/insights/air-freight-cost-per-kg/" TargetMode="External"/><Relationship Id="rId2" Type="http://schemas.openxmlformats.org/officeDocument/2006/relationships/hyperlink" Target="https://investor.tsmc.com/english/encrypt/files/encrypt_file/reports/2026-04/a7e3abe65a3fbc342aa55f9f53a5490dd621c1ac/1Q26%20Presentation%20%28E%29.pdf" TargetMode="External"/><Relationship Id="rId1" Type="http://schemas.openxmlformats.org/officeDocument/2006/relationships/hyperlink" Target="https://siliconanalysts.com/guide/semiconductor-costs" TargetMode="External"/><Relationship Id="rId5" Type="http://schemas.openxmlformats.org/officeDocument/2006/relationships/hyperlink" Target="https://www.tsmc.com/english/dedicatedFoundry/manufacturing/fab_capacity" TargetMode="External"/><Relationship Id="rId4" Type="http://schemas.openxmlformats.org/officeDocument/2006/relationships/hyperlink" Target="https://www.freightos.com/freight-resources/freight-rate-free-calcula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17A7A-9C20-3B40-AA52-34D7BEA88B35}">
  <sheetPr>
    <outlinePr summaryBelow="0" summaryRight="0"/>
  </sheetPr>
  <dimension ref="A1:AA57"/>
  <sheetViews>
    <sheetView showGridLines="0" zoomScale="50" zoomScaleNormal="55" workbookViewId="0">
      <selection activeCell="S61" sqref="S61"/>
    </sheetView>
  </sheetViews>
  <sheetFormatPr baseColWidth="10" defaultColWidth="12.5" defaultRowHeight="15" customHeight="1" x14ac:dyDescent="0.15"/>
  <cols>
    <col min="1" max="1" width="19" customWidth="1"/>
    <col min="3" max="3" width="19.83203125" bestFit="1" customWidth="1"/>
    <col min="4" max="4" width="19.6640625" customWidth="1"/>
    <col min="5" max="5" width="24.83203125" customWidth="1"/>
    <col min="6" max="6" width="26.83203125" customWidth="1"/>
    <col min="7" max="7" width="12.1640625" customWidth="1"/>
    <col min="8" max="8" width="15.5" customWidth="1"/>
    <col min="9" max="9" width="22.5" customWidth="1"/>
    <col min="10" max="10" width="21.1640625" customWidth="1"/>
    <col min="11" max="11" width="14.5" customWidth="1"/>
    <col min="20" max="20" width="30.5" customWidth="1"/>
    <col min="21" max="21" width="30.33203125" customWidth="1"/>
    <col min="24" max="24" width="14.6640625" bestFit="1" customWidth="1"/>
  </cols>
  <sheetData>
    <row r="1" spans="1:27" ht="13" x14ac:dyDescent="0.15"/>
    <row r="2" spans="1:27" ht="13" x14ac:dyDescent="0.15"/>
    <row r="3" spans="1:27" ht="31" thickBot="1" x14ac:dyDescent="0.35">
      <c r="B3" s="167" t="s">
        <v>116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</row>
    <row r="4" spans="1:27" ht="13" x14ac:dyDescent="0.15"/>
    <row r="5" spans="1:27" ht="13" x14ac:dyDescent="0.15"/>
    <row r="6" spans="1:27" ht="13" x14ac:dyDescent="0.15"/>
    <row r="7" spans="1:27" ht="24" thickBot="1" x14ac:dyDescent="0.3">
      <c r="B7" s="170" t="s">
        <v>2</v>
      </c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</row>
    <row r="8" spans="1:27" ht="14" thickBot="1" x14ac:dyDescent="0.2">
      <c r="A8" s="106" t="s">
        <v>3</v>
      </c>
      <c r="B8" s="172" t="s">
        <v>4</v>
      </c>
      <c r="C8" s="173"/>
      <c r="D8" s="173"/>
      <c r="E8" s="173"/>
      <c r="F8" s="173"/>
      <c r="G8" s="174"/>
      <c r="H8" s="172" t="s">
        <v>5</v>
      </c>
      <c r="I8" s="173"/>
      <c r="J8" s="173"/>
      <c r="K8" s="173"/>
      <c r="L8" s="173"/>
      <c r="M8" s="174"/>
      <c r="N8" s="172" t="s">
        <v>6</v>
      </c>
      <c r="O8" s="173"/>
      <c r="P8" s="173"/>
      <c r="Q8" s="173"/>
      <c r="R8" s="173"/>
      <c r="S8" s="174"/>
      <c r="T8" s="172" t="s">
        <v>7</v>
      </c>
      <c r="U8" s="175"/>
    </row>
    <row r="9" spans="1:27" ht="13" x14ac:dyDescent="0.15">
      <c r="A9" s="99" t="s">
        <v>8</v>
      </c>
      <c r="B9" s="96" t="s">
        <v>9</v>
      </c>
      <c r="C9" s="97" t="s">
        <v>10</v>
      </c>
      <c r="D9" s="97" t="s">
        <v>11</v>
      </c>
      <c r="E9" s="97" t="s">
        <v>12</v>
      </c>
      <c r="F9" s="97" t="s">
        <v>13</v>
      </c>
      <c r="G9" s="98" t="s">
        <v>14</v>
      </c>
      <c r="H9" s="96" t="s">
        <v>9</v>
      </c>
      <c r="I9" s="97" t="s">
        <v>10</v>
      </c>
      <c r="J9" s="97" t="s">
        <v>11</v>
      </c>
      <c r="K9" s="97" t="s">
        <v>12</v>
      </c>
      <c r="L9" s="97" t="s">
        <v>13</v>
      </c>
      <c r="M9" s="97" t="s">
        <v>14</v>
      </c>
      <c r="N9" s="96" t="s">
        <v>9</v>
      </c>
      <c r="O9" s="97" t="s">
        <v>10</v>
      </c>
      <c r="P9" s="97" t="s">
        <v>11</v>
      </c>
      <c r="Q9" s="97" t="s">
        <v>12</v>
      </c>
      <c r="R9" s="97" t="s">
        <v>13</v>
      </c>
      <c r="S9" s="98" t="s">
        <v>14</v>
      </c>
      <c r="T9" s="104" t="s">
        <v>15</v>
      </c>
      <c r="U9" s="105" t="s">
        <v>16</v>
      </c>
      <c r="W9" s="21"/>
      <c r="X9" s="158" t="s">
        <v>17</v>
      </c>
      <c r="Y9" s="158"/>
      <c r="Z9" s="72"/>
      <c r="AA9" s="73"/>
    </row>
    <row r="10" spans="1:27" ht="14" thickBot="1" x14ac:dyDescent="0.2">
      <c r="A10" s="83" t="s">
        <v>18</v>
      </c>
      <c r="B10" s="6">
        <f>Rates!M8+Rates!M27</f>
        <v>20002073.600000001</v>
      </c>
      <c r="C10" s="6">
        <f>Rates!N8+Rates!N27</f>
        <v>20002406.399999999</v>
      </c>
      <c r="D10" s="6">
        <f>Rates!O8+Rates!O27</f>
        <v>20000793.600000001</v>
      </c>
      <c r="E10" s="6">
        <f>Rates!P8+Rates!P27</f>
        <v>20001126.399999999</v>
      </c>
      <c r="F10" s="6">
        <f>Rates!Q8+Rates!Q27</f>
        <v>20001920</v>
      </c>
      <c r="G10" s="6">
        <f>Rates!R8+Rates!R27</f>
        <v>20001126.399999999</v>
      </c>
      <c r="H10" s="6">
        <f>Rates!S8+Rates!S27</f>
        <v>16002073.6</v>
      </c>
      <c r="I10" s="6">
        <f>Rates!T8+Rates!T27</f>
        <v>16002406.4</v>
      </c>
      <c r="J10" s="6">
        <f>Rates!U8+Rates!U27</f>
        <v>16000793.6</v>
      </c>
      <c r="K10" s="6">
        <f>Rates!V8+Rates!V27</f>
        <v>16001126.4</v>
      </c>
      <c r="L10" s="6">
        <f>Rates!W8+Rates!W27</f>
        <v>16001920</v>
      </c>
      <c r="M10" s="6">
        <f>Rates!X8+Rates!X27</f>
        <v>16001126.4</v>
      </c>
      <c r="N10" s="6">
        <f>Rates!Y8+Rates!Y27</f>
        <v>9002073.5999999996</v>
      </c>
      <c r="O10" s="6">
        <f>Rates!Z8+Rates!Z27</f>
        <v>9002406.4000000004</v>
      </c>
      <c r="P10" s="6">
        <f>Rates!AA8+Rates!AA27</f>
        <v>9000793.5999999996</v>
      </c>
      <c r="Q10" s="6">
        <f>Rates!AB8+Rates!AB27</f>
        <v>9001126.4000000004</v>
      </c>
      <c r="R10" s="6">
        <f>Rates!AC8+Rates!AC27</f>
        <v>9001920</v>
      </c>
      <c r="S10" s="6">
        <f>Rates!AD8+Rates!AD27</f>
        <v>9001126.4000000004</v>
      </c>
      <c r="T10" s="5">
        <v>12000000000</v>
      </c>
      <c r="U10" s="36">
        <f>1200000/1000</f>
        <v>1200</v>
      </c>
      <c r="V10" s="1"/>
      <c r="W10" s="74"/>
      <c r="X10" s="153"/>
      <c r="Y10" s="153"/>
      <c r="Z10" s="10"/>
      <c r="AA10" s="76"/>
    </row>
    <row r="11" spans="1:27" ht="14" thickTop="1" x14ac:dyDescent="0.15">
      <c r="A11" s="83" t="s">
        <v>19</v>
      </c>
      <c r="B11" s="6">
        <f>Rates!M9+Rates!M28</f>
        <v>20002073.600000001</v>
      </c>
      <c r="C11" s="6">
        <f>Rates!N9+Rates!N28</f>
        <v>20002406.399999999</v>
      </c>
      <c r="D11" s="6">
        <f>Rates!O9+Rates!O28</f>
        <v>20000793.600000001</v>
      </c>
      <c r="E11" s="6">
        <f>Rates!P9+Rates!P28</f>
        <v>20001126.399999999</v>
      </c>
      <c r="F11" s="6">
        <f>Rates!Q9+Rates!Q28</f>
        <v>20001920</v>
      </c>
      <c r="G11" s="6">
        <f>Rates!R9+Rates!R28</f>
        <v>20001126.399999999</v>
      </c>
      <c r="H11" s="6">
        <f>Rates!S9+Rates!S28</f>
        <v>16002073.6</v>
      </c>
      <c r="I11" s="6">
        <f>Rates!T9+Rates!T28</f>
        <v>16002406.4</v>
      </c>
      <c r="J11" s="6">
        <f>Rates!U9+Rates!U28</f>
        <v>16000793.6</v>
      </c>
      <c r="K11" s="6">
        <f>Rates!V9+Rates!V28</f>
        <v>16001126.4</v>
      </c>
      <c r="L11" s="6">
        <f>Rates!W9+Rates!W28</f>
        <v>16001920</v>
      </c>
      <c r="M11" s="6">
        <f>Rates!X9+Rates!X28</f>
        <v>16001126.4</v>
      </c>
      <c r="N11" s="6">
        <f>Rates!Y9+Rates!Y28</f>
        <v>9002073.5999999996</v>
      </c>
      <c r="O11" s="6">
        <f>Rates!Z9+Rates!Z28</f>
        <v>9002406.4000000004</v>
      </c>
      <c r="P11" s="6">
        <f>Rates!AA9+Rates!AA28</f>
        <v>9000793.5999999996</v>
      </c>
      <c r="Q11" s="6">
        <f>Rates!AB9+Rates!AB28</f>
        <v>9001126.4000000004</v>
      </c>
      <c r="R11" s="6">
        <f>Rates!AC9+Rates!AC28</f>
        <v>9001920</v>
      </c>
      <c r="S11" s="6">
        <f>Rates!AD9+Rates!AD28</f>
        <v>9001126.4000000004</v>
      </c>
      <c r="T11" s="5">
        <v>12000000000</v>
      </c>
      <c r="U11" s="36">
        <f>3000000/1000</f>
        <v>3000</v>
      </c>
      <c r="V11" s="1"/>
      <c r="W11" s="74"/>
      <c r="X11" s="10"/>
      <c r="Y11" s="10"/>
      <c r="Z11" s="10"/>
      <c r="AA11" s="76"/>
    </row>
    <row r="12" spans="1:27" ht="13" x14ac:dyDescent="0.15">
      <c r="A12" s="83" t="s">
        <v>20</v>
      </c>
      <c r="B12" s="6">
        <f>Rates!M10+Rates!M29</f>
        <v>20002073.600000001</v>
      </c>
      <c r="C12" s="6">
        <f>Rates!N10+Rates!N29</f>
        <v>20002406.399999999</v>
      </c>
      <c r="D12" s="6">
        <f>Rates!O10+Rates!O29</f>
        <v>20000793.600000001</v>
      </c>
      <c r="E12" s="6">
        <f>Rates!P10+Rates!P29</f>
        <v>20001126.399999999</v>
      </c>
      <c r="F12" s="6">
        <f>Rates!Q10+Rates!Q29</f>
        <v>20001920</v>
      </c>
      <c r="G12" s="6">
        <f>Rates!R10+Rates!R29</f>
        <v>20001126.399999999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5">
        <v>45200000000</v>
      </c>
      <c r="U12" s="36">
        <f>1440000/1000</f>
        <v>1440</v>
      </c>
      <c r="V12" s="1"/>
      <c r="W12" s="74"/>
      <c r="X12" s="10" t="s">
        <v>21</v>
      </c>
      <c r="Y12" s="8"/>
      <c r="Z12" s="10"/>
      <c r="AA12" s="76"/>
    </row>
    <row r="13" spans="1:27" ht="13" x14ac:dyDescent="0.15">
      <c r="A13" s="83" t="s">
        <v>22</v>
      </c>
      <c r="B13" s="6">
        <f>Rates!M11+Rates!M30</f>
        <v>26000793.600000001</v>
      </c>
      <c r="C13" s="6">
        <f>Rates!N11+Rates!N30</f>
        <v>26000640</v>
      </c>
      <c r="D13" s="6">
        <f>Rates!O11+Rates!O30</f>
        <v>26002252.800000001</v>
      </c>
      <c r="E13" s="6">
        <f>Rates!P11+Rates!P30</f>
        <v>26002073.600000001</v>
      </c>
      <c r="F13" s="6">
        <f>Rates!Q11+Rates!Q30</f>
        <v>26001920</v>
      </c>
      <c r="G13" s="16">
        <f>Rates!R11+Rates!R30</f>
        <v>26001920</v>
      </c>
      <c r="H13" s="6">
        <f>Rates!S11+Rates!S30</f>
        <v>20800793.600000001</v>
      </c>
      <c r="I13" s="6">
        <f>Rates!T11+Rates!T30</f>
        <v>20800640</v>
      </c>
      <c r="J13" s="6">
        <f>Rates!U11+Rates!U30</f>
        <v>20802252.800000001</v>
      </c>
      <c r="K13" s="6">
        <f>Rates!V11+Rates!V30</f>
        <v>20802073.600000001</v>
      </c>
      <c r="L13" s="6">
        <f>Rates!W11+Rates!W30</f>
        <v>20801920</v>
      </c>
      <c r="M13" s="6">
        <f>Rates!X11+Rates!X30</f>
        <v>20801920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5">
        <v>65000000000</v>
      </c>
      <c r="U13" s="36">
        <v>720</v>
      </c>
      <c r="V13" s="1"/>
      <c r="W13" s="74"/>
      <c r="X13" s="10"/>
      <c r="Y13" s="10"/>
      <c r="Z13" s="10"/>
      <c r="AA13" s="76"/>
    </row>
    <row r="14" spans="1:27" ht="13" x14ac:dyDescent="0.15">
      <c r="A14" s="83" t="s">
        <v>23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6">
        <f>Rates!S12+Rates!S31</f>
        <v>16002073.6</v>
      </c>
      <c r="I14" s="6">
        <f>Rates!T12+Rates!T31</f>
        <v>16002406.4</v>
      </c>
      <c r="J14" s="6">
        <f>Rates!U12+Rates!U31</f>
        <v>16000793.6</v>
      </c>
      <c r="K14" s="6">
        <f>Rates!V12+Rates!V31</f>
        <v>16001126.4</v>
      </c>
      <c r="L14" s="6">
        <f>Rates!W12+Rates!W31</f>
        <v>16001920</v>
      </c>
      <c r="M14" s="6">
        <f>Rates!X12+Rates!X31</f>
        <v>16001126.4</v>
      </c>
      <c r="N14" s="6">
        <f>Rates!Y12+Rates!Y31</f>
        <v>9002073.5999999996</v>
      </c>
      <c r="O14" s="6">
        <f>Rates!Z12+Rates!Z31</f>
        <v>9002406.4000000004</v>
      </c>
      <c r="P14" s="6">
        <f>Rates!AA12+Rates!AA31</f>
        <v>9000793.5999999996</v>
      </c>
      <c r="Q14" s="6">
        <f>Rates!AB12+Rates!AB31</f>
        <v>9001126.4000000004</v>
      </c>
      <c r="R14" s="6">
        <f>Rates!AC12+Rates!AC31</f>
        <v>9001920</v>
      </c>
      <c r="S14" s="6">
        <f>Rates!AD12+Rates!AD31</f>
        <v>9001126.4000000004</v>
      </c>
      <c r="T14" s="5">
        <v>12000000000</v>
      </c>
      <c r="U14" s="36">
        <v>1200</v>
      </c>
      <c r="V14" s="1"/>
      <c r="W14" s="74"/>
      <c r="X14" s="80" t="s">
        <v>24</v>
      </c>
      <c r="Y14" s="10"/>
      <c r="Z14" s="10"/>
      <c r="AA14" s="76"/>
    </row>
    <row r="15" spans="1:27" ht="14" thickBot="1" x14ac:dyDescent="0.2">
      <c r="A15" s="83" t="s">
        <v>25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5">
        <v>24000000000</v>
      </c>
      <c r="U15" s="36">
        <v>360</v>
      </c>
      <c r="V15" s="1"/>
      <c r="W15" s="74"/>
      <c r="X15" s="8"/>
      <c r="Y15" s="8"/>
      <c r="Z15" s="10"/>
      <c r="AA15" s="76"/>
    </row>
    <row r="16" spans="1:27" ht="14" thickBot="1" x14ac:dyDescent="0.2">
      <c r="A16" s="37" t="s">
        <v>26</v>
      </c>
      <c r="B16" s="38" cm="1">
        <f t="array" ref="B16:G16">TRANSPOSE(Rates!C30:C35)/1000</f>
        <v>425</v>
      </c>
      <c r="C16" s="38">
        <v>425</v>
      </c>
      <c r="D16" s="38">
        <v>1275</v>
      </c>
      <c r="E16" s="38">
        <v>1487.5</v>
      </c>
      <c r="F16" s="38">
        <v>425</v>
      </c>
      <c r="G16" s="38">
        <v>212.5</v>
      </c>
      <c r="H16" s="38" cm="1">
        <f t="array" ref="H16:M16">TRANSPOSE(Rates!D30:D35)/1000</f>
        <v>612</v>
      </c>
      <c r="I16" s="38">
        <v>612</v>
      </c>
      <c r="J16" s="38">
        <v>1836</v>
      </c>
      <c r="K16" s="38">
        <v>2142</v>
      </c>
      <c r="L16" s="38">
        <v>612</v>
      </c>
      <c r="M16" s="38">
        <v>306</v>
      </c>
      <c r="N16" s="38" cm="1">
        <f t="array" ref="N16:S16">TRANSPOSE(Rates!E30:E35)/1000</f>
        <v>221</v>
      </c>
      <c r="O16" s="38">
        <v>221</v>
      </c>
      <c r="P16" s="38">
        <v>663</v>
      </c>
      <c r="Q16" s="38">
        <v>773.5</v>
      </c>
      <c r="R16" s="38">
        <v>221</v>
      </c>
      <c r="S16" s="38">
        <v>110.5</v>
      </c>
      <c r="T16" s="39"/>
      <c r="U16" s="40"/>
      <c r="V16" s="8"/>
      <c r="W16" s="74"/>
      <c r="X16" s="12" t="s">
        <v>27</v>
      </c>
      <c r="Y16" s="10"/>
      <c r="Z16" s="10"/>
      <c r="AA16" s="76"/>
    </row>
    <row r="17" spans="1:27" ht="13" x14ac:dyDescent="0.1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8"/>
      <c r="U17" s="8"/>
      <c r="V17" s="1"/>
      <c r="W17" s="74"/>
      <c r="X17" s="10"/>
      <c r="Y17" s="10"/>
      <c r="Z17" s="10"/>
      <c r="AA17" s="76"/>
    </row>
    <row r="18" spans="1:27" ht="24" customHeight="1" thickBot="1" x14ac:dyDescent="0.2">
      <c r="A18" s="10"/>
      <c r="B18" s="10"/>
      <c r="C18" s="10"/>
      <c r="D18" s="10"/>
      <c r="E18" s="168" t="s">
        <v>28</v>
      </c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0"/>
      <c r="R18" s="10"/>
      <c r="S18" s="10"/>
      <c r="T18" s="8"/>
      <c r="U18" s="8"/>
      <c r="V18" s="1"/>
      <c r="W18" s="74"/>
      <c r="X18" s="12" t="s">
        <v>29</v>
      </c>
      <c r="Y18" s="10"/>
      <c r="Z18" s="10"/>
      <c r="AA18" s="76"/>
    </row>
    <row r="19" spans="1:27" ht="14" thickBot="1" x14ac:dyDescent="0.2">
      <c r="A19" s="102" t="s">
        <v>30</v>
      </c>
      <c r="B19" s="159" t="s">
        <v>4</v>
      </c>
      <c r="C19" s="160"/>
      <c r="D19" s="160"/>
      <c r="E19" s="160"/>
      <c r="F19" s="160"/>
      <c r="G19" s="161"/>
      <c r="H19" s="160" t="s">
        <v>5</v>
      </c>
      <c r="I19" s="160"/>
      <c r="J19" s="160"/>
      <c r="K19" s="160"/>
      <c r="L19" s="160"/>
      <c r="M19" s="162"/>
      <c r="N19" s="163" t="s">
        <v>6</v>
      </c>
      <c r="O19" s="160"/>
      <c r="P19" s="160"/>
      <c r="Q19" s="160"/>
      <c r="R19" s="160"/>
      <c r="S19" s="161"/>
      <c r="T19" s="136" t="s">
        <v>31</v>
      </c>
      <c r="U19" s="103" t="s">
        <v>32</v>
      </c>
      <c r="V19" s="1"/>
      <c r="W19" s="74"/>
      <c r="X19" s="10"/>
      <c r="Y19" s="10"/>
      <c r="Z19" s="10"/>
      <c r="AA19" s="76"/>
    </row>
    <row r="20" spans="1:27" ht="13" x14ac:dyDescent="0.15">
      <c r="A20" s="99" t="s">
        <v>8</v>
      </c>
      <c r="B20" s="96" t="s">
        <v>9</v>
      </c>
      <c r="C20" s="97" t="s">
        <v>10</v>
      </c>
      <c r="D20" s="97" t="s">
        <v>11</v>
      </c>
      <c r="E20" s="97" t="s">
        <v>12</v>
      </c>
      <c r="F20" s="97" t="s">
        <v>13</v>
      </c>
      <c r="G20" s="98" t="s">
        <v>14</v>
      </c>
      <c r="H20" s="96" t="s">
        <v>9</v>
      </c>
      <c r="I20" s="97" t="s">
        <v>10</v>
      </c>
      <c r="J20" s="97" t="s">
        <v>11</v>
      </c>
      <c r="K20" s="97" t="s">
        <v>12</v>
      </c>
      <c r="L20" s="97" t="s">
        <v>13</v>
      </c>
      <c r="M20" s="97" t="s">
        <v>14</v>
      </c>
      <c r="N20" s="96" t="s">
        <v>9</v>
      </c>
      <c r="O20" s="97" t="s">
        <v>10</v>
      </c>
      <c r="P20" s="97" t="s">
        <v>11</v>
      </c>
      <c r="Q20" s="97" t="s">
        <v>12</v>
      </c>
      <c r="R20" s="97" t="s">
        <v>13</v>
      </c>
      <c r="S20" s="97" t="s">
        <v>14</v>
      </c>
      <c r="T20" s="100" t="s">
        <v>33</v>
      </c>
      <c r="U20" s="101"/>
      <c r="V20" s="1"/>
      <c r="W20" s="74"/>
      <c r="X20" s="12" t="s">
        <v>34</v>
      </c>
      <c r="Y20" s="10"/>
      <c r="Z20" s="10"/>
      <c r="AA20" s="76"/>
    </row>
    <row r="21" spans="1:27" ht="14" thickBot="1" x14ac:dyDescent="0.2">
      <c r="A21" s="83" t="s">
        <v>18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1200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16">
        <v>0</v>
      </c>
      <c r="T21" s="68">
        <v>1</v>
      </c>
      <c r="U21" s="84">
        <f>SUM(B21:S21)</f>
        <v>1200</v>
      </c>
      <c r="V21" s="1"/>
      <c r="W21" s="74"/>
      <c r="AA21" s="76"/>
    </row>
    <row r="22" spans="1:27" ht="14" thickBot="1" x14ac:dyDescent="0.2">
      <c r="A22" s="83" t="s">
        <v>19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635.99999999999989</v>
      </c>
      <c r="K22" s="6">
        <v>264.5</v>
      </c>
      <c r="L22" s="6">
        <v>0</v>
      </c>
      <c r="M22" s="6">
        <v>0</v>
      </c>
      <c r="N22" s="6">
        <v>221</v>
      </c>
      <c r="O22" s="6">
        <v>221</v>
      </c>
      <c r="P22" s="6">
        <v>663</v>
      </c>
      <c r="Q22" s="6">
        <v>773.5</v>
      </c>
      <c r="R22" s="6">
        <v>221</v>
      </c>
      <c r="S22" s="16">
        <v>0</v>
      </c>
      <c r="T22" s="45">
        <v>1</v>
      </c>
      <c r="U22" s="84">
        <f t="shared" ref="U22:U26" si="0">SUM(B22:S22)</f>
        <v>3000</v>
      </c>
      <c r="V22" s="1"/>
      <c r="W22" s="74"/>
      <c r="X22" s="81"/>
      <c r="Y22" s="12" t="s">
        <v>35</v>
      </c>
      <c r="AA22" s="76"/>
    </row>
    <row r="23" spans="1:27" ht="13" x14ac:dyDescent="0.15">
      <c r="A23" s="83" t="s">
        <v>20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19">
        <v>0</v>
      </c>
      <c r="T23" s="45">
        <v>0</v>
      </c>
      <c r="U23" s="84">
        <f>SUM(B23:S23)</f>
        <v>0</v>
      </c>
      <c r="V23" s="1"/>
      <c r="W23" s="74"/>
      <c r="AA23" s="76"/>
    </row>
    <row r="24" spans="1:27" ht="13" x14ac:dyDescent="0.15">
      <c r="A24" s="83" t="s">
        <v>22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1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17">
        <v>0</v>
      </c>
      <c r="O24" s="7">
        <v>0</v>
      </c>
      <c r="P24" s="7">
        <v>0</v>
      </c>
      <c r="Q24" s="7">
        <v>0</v>
      </c>
      <c r="R24" s="7">
        <v>0</v>
      </c>
      <c r="S24" s="19">
        <v>0</v>
      </c>
      <c r="T24" s="45">
        <v>0</v>
      </c>
      <c r="U24" s="84">
        <f>SUM(B24:S24)</f>
        <v>0</v>
      </c>
      <c r="V24" s="1"/>
      <c r="W24" s="74"/>
      <c r="X24" s="11" t="s">
        <v>36</v>
      </c>
      <c r="AA24" s="76"/>
    </row>
    <row r="25" spans="1:27" ht="13" x14ac:dyDescent="0.15">
      <c r="A25" s="83" t="s">
        <v>23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6">
        <v>0</v>
      </c>
      <c r="I25" s="6">
        <v>0</v>
      </c>
      <c r="J25" s="6">
        <v>0</v>
      </c>
      <c r="K25" s="6">
        <v>1089.5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16">
        <v>110.5</v>
      </c>
      <c r="T25" s="45">
        <v>1</v>
      </c>
      <c r="U25" s="84">
        <f>SUM(B25:S25)</f>
        <v>1200</v>
      </c>
      <c r="V25" s="1"/>
      <c r="W25" s="74"/>
      <c r="X25" s="10"/>
      <c r="Y25" s="10"/>
      <c r="Z25" s="10"/>
      <c r="AA25" s="76"/>
    </row>
    <row r="26" spans="1:27" ht="14" thickBot="1" x14ac:dyDescent="0.2">
      <c r="A26" s="85" t="s">
        <v>25</v>
      </c>
      <c r="B26" s="29">
        <v>0</v>
      </c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  <c r="R26" s="29">
        <v>0</v>
      </c>
      <c r="S26" s="86">
        <v>0</v>
      </c>
      <c r="T26" s="87">
        <v>0</v>
      </c>
      <c r="U26" s="88">
        <f t="shared" si="0"/>
        <v>0</v>
      </c>
      <c r="V26" s="1"/>
      <c r="W26" s="74"/>
      <c r="X26" s="130">
        <v>30000000</v>
      </c>
      <c r="Y26" s="11" t="s">
        <v>115</v>
      </c>
      <c r="Z26" s="10"/>
      <c r="AA26" s="76"/>
    </row>
    <row r="27" spans="1:27" ht="14" thickBot="1" x14ac:dyDescent="0.2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8"/>
      <c r="U27" s="8"/>
      <c r="V27" s="1"/>
      <c r="W27" s="77"/>
      <c r="X27" s="78"/>
      <c r="Y27" s="78"/>
      <c r="Z27" s="78"/>
      <c r="AA27" s="79"/>
    </row>
    <row r="28" spans="1:27" ht="24" thickBot="1" x14ac:dyDescent="0.3">
      <c r="E28" s="169" t="s">
        <v>110</v>
      </c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T28" s="1"/>
      <c r="U28" s="1"/>
      <c r="V28" s="1"/>
    </row>
    <row r="29" spans="1:27" ht="14" thickBot="1" x14ac:dyDescent="0.2">
      <c r="A29" s="82" t="s">
        <v>37</v>
      </c>
      <c r="B29" s="164" t="s">
        <v>4</v>
      </c>
      <c r="C29" s="165"/>
      <c r="D29" s="165"/>
      <c r="E29" s="165"/>
      <c r="F29" s="165"/>
      <c r="G29" s="166"/>
      <c r="H29" s="164" t="s">
        <v>5</v>
      </c>
      <c r="I29" s="165"/>
      <c r="J29" s="165"/>
      <c r="K29" s="165"/>
      <c r="L29" s="165"/>
      <c r="M29" s="166"/>
      <c r="N29" s="164" t="s">
        <v>6</v>
      </c>
      <c r="O29" s="165"/>
      <c r="P29" s="165"/>
      <c r="Q29" s="165"/>
      <c r="R29" s="165"/>
      <c r="S29" s="166"/>
      <c r="T29" s="8"/>
      <c r="U29" s="50"/>
      <c r="V29" s="1"/>
    </row>
    <row r="30" spans="1:27" ht="13" x14ac:dyDescent="0.15">
      <c r="A30" s="89" t="s">
        <v>8</v>
      </c>
      <c r="B30" s="69" t="s">
        <v>9</v>
      </c>
      <c r="C30" s="69" t="s">
        <v>10</v>
      </c>
      <c r="D30" s="69" t="s">
        <v>11</v>
      </c>
      <c r="E30" s="69" t="s">
        <v>12</v>
      </c>
      <c r="F30" s="69" t="s">
        <v>13</v>
      </c>
      <c r="G30" s="70" t="s">
        <v>14</v>
      </c>
      <c r="H30" s="69" t="s">
        <v>9</v>
      </c>
      <c r="I30" s="69" t="s">
        <v>10</v>
      </c>
      <c r="J30" s="69" t="s">
        <v>11</v>
      </c>
      <c r="K30" s="69" t="s">
        <v>12</v>
      </c>
      <c r="L30" s="69" t="s">
        <v>13</v>
      </c>
      <c r="M30" s="69" t="s">
        <v>14</v>
      </c>
      <c r="N30" s="71" t="s">
        <v>9</v>
      </c>
      <c r="O30" s="71" t="s">
        <v>10</v>
      </c>
      <c r="P30" s="71" t="s">
        <v>11</v>
      </c>
      <c r="Q30" s="71" t="s">
        <v>12</v>
      </c>
      <c r="R30" s="71" t="s">
        <v>13</v>
      </c>
      <c r="S30" s="90" t="s">
        <v>14</v>
      </c>
      <c r="T30" s="8"/>
      <c r="U30" s="8"/>
      <c r="V30" s="1"/>
      <c r="W30" s="1"/>
    </row>
    <row r="31" spans="1:27" ht="13" x14ac:dyDescent="0.15">
      <c r="A31" s="91" t="s">
        <v>18</v>
      </c>
      <c r="B31" s="13">
        <f>$U$10*$T$21-SUM($B$21:$S$21)</f>
        <v>0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43"/>
      <c r="N31" s="53"/>
      <c r="O31" s="53"/>
      <c r="P31" s="53"/>
      <c r="Q31" s="53"/>
      <c r="R31" s="53"/>
      <c r="S31" s="92"/>
      <c r="T31" s="8"/>
      <c r="U31" s="8"/>
      <c r="V31" s="1"/>
      <c r="W31" s="1"/>
    </row>
    <row r="32" spans="1:27" ht="13" x14ac:dyDescent="0.15">
      <c r="A32" s="91" t="s">
        <v>19</v>
      </c>
      <c r="B32" s="13">
        <f>$U$11*$T$22-SUM($B$22:$S$22)</f>
        <v>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43"/>
      <c r="N32" s="53"/>
      <c r="O32" s="53"/>
      <c r="P32" s="53"/>
      <c r="Q32" s="53"/>
      <c r="R32" s="53"/>
      <c r="S32" s="92"/>
      <c r="T32" s="8"/>
      <c r="U32" s="8"/>
      <c r="V32" s="1"/>
      <c r="W32" s="1"/>
    </row>
    <row r="33" spans="1:24" ht="13" x14ac:dyDescent="0.15">
      <c r="A33" s="91" t="s">
        <v>20</v>
      </c>
      <c r="B33" s="13">
        <f>$U$12*$T$23-SUM($B$23:$S$23)</f>
        <v>0</v>
      </c>
      <c r="C33" s="13"/>
      <c r="D33" s="13"/>
      <c r="E33" s="13"/>
      <c r="F33" s="13"/>
      <c r="G33" s="66"/>
      <c r="H33" s="67"/>
      <c r="I33" s="15"/>
      <c r="J33" s="15"/>
      <c r="K33" s="15"/>
      <c r="L33" s="15"/>
      <c r="M33" s="51"/>
      <c r="N33" s="54"/>
      <c r="O33" s="55"/>
      <c r="P33" s="55"/>
      <c r="Q33" s="55"/>
      <c r="R33" s="55"/>
      <c r="S33" s="93"/>
      <c r="T33" s="8"/>
      <c r="U33" s="8"/>
      <c r="V33" s="1"/>
      <c r="W33" s="1"/>
      <c r="X33" s="1"/>
    </row>
    <row r="34" spans="1:24" ht="13" x14ac:dyDescent="0.15">
      <c r="A34" s="91" t="s">
        <v>22</v>
      </c>
      <c r="B34" s="13">
        <f>$U$13*$T$24-SUM($B$24:$S$24)</f>
        <v>0</v>
      </c>
      <c r="C34" s="13"/>
      <c r="D34" s="13"/>
      <c r="E34" s="13"/>
      <c r="F34" s="43"/>
      <c r="G34" s="53"/>
      <c r="H34" s="53"/>
      <c r="I34" s="44"/>
      <c r="J34" s="44"/>
      <c r="K34" s="44"/>
      <c r="L34" s="44"/>
      <c r="M34" s="52"/>
      <c r="N34" s="54"/>
      <c r="O34" s="55"/>
      <c r="P34" s="55"/>
      <c r="Q34" s="55"/>
      <c r="R34" s="55"/>
      <c r="S34" s="93"/>
      <c r="T34" s="8"/>
      <c r="U34" s="8"/>
      <c r="V34" s="1"/>
      <c r="W34" s="1"/>
      <c r="X34" s="1"/>
    </row>
    <row r="35" spans="1:24" ht="13" x14ac:dyDescent="0.15">
      <c r="A35" s="91" t="s">
        <v>23</v>
      </c>
      <c r="B35" s="46">
        <f>$U$14*$T$25-SUM($B$25:$S$25)</f>
        <v>0</v>
      </c>
      <c r="C35" s="14"/>
      <c r="D35" s="14"/>
      <c r="E35" s="14"/>
      <c r="F35" s="14"/>
      <c r="G35" s="14"/>
      <c r="H35" s="13"/>
      <c r="I35" s="13"/>
      <c r="J35" s="13"/>
      <c r="K35" s="13"/>
      <c r="L35" s="13"/>
      <c r="M35" s="43"/>
      <c r="N35" s="53"/>
      <c r="O35" s="53"/>
      <c r="P35" s="53"/>
      <c r="Q35" s="53"/>
      <c r="R35" s="53"/>
      <c r="S35" s="92"/>
      <c r="T35" s="8"/>
      <c r="U35" s="8"/>
      <c r="V35" s="1"/>
      <c r="W35" s="1"/>
      <c r="X35" s="1"/>
    </row>
    <row r="36" spans="1:24" ht="18" customHeight="1" thickBot="1" x14ac:dyDescent="0.2">
      <c r="A36" s="91" t="s">
        <v>25</v>
      </c>
      <c r="B36" s="46">
        <f>$U$15*$T$26-SUM($B$26:$S$26)</f>
        <v>0</v>
      </c>
      <c r="C36" s="14"/>
      <c r="D36" s="14"/>
      <c r="E36" s="14"/>
      <c r="F36" s="14"/>
      <c r="G36" s="14"/>
      <c r="H36" s="46"/>
      <c r="I36" s="14"/>
      <c r="J36" s="14"/>
      <c r="K36" s="14"/>
      <c r="L36" s="14"/>
      <c r="M36" s="49"/>
      <c r="N36" s="54"/>
      <c r="O36" s="55"/>
      <c r="P36" s="55"/>
      <c r="Q36" s="55"/>
      <c r="R36" s="55"/>
      <c r="S36" s="93"/>
      <c r="T36" s="8"/>
      <c r="U36" s="8"/>
      <c r="V36" s="1"/>
      <c r="W36" s="1"/>
      <c r="X36" s="1"/>
    </row>
    <row r="37" spans="1:24" ht="13" customHeight="1" thickBot="1" x14ac:dyDescent="0.2">
      <c r="A37" s="94" t="s">
        <v>38</v>
      </c>
      <c r="B37" s="95">
        <f>B16-SUM(B21:B26)</f>
        <v>425</v>
      </c>
      <c r="C37" s="95">
        <f t="shared" ref="C37:S37" si="1">C16-SUM(C21:C26)</f>
        <v>425</v>
      </c>
      <c r="D37" s="95">
        <f t="shared" si="1"/>
        <v>1275</v>
      </c>
      <c r="E37" s="95">
        <f t="shared" si="1"/>
        <v>1487.5</v>
      </c>
      <c r="F37" s="95">
        <f t="shared" si="1"/>
        <v>425</v>
      </c>
      <c r="G37" s="95">
        <f t="shared" si="1"/>
        <v>212.5</v>
      </c>
      <c r="H37" s="95">
        <f t="shared" si="1"/>
        <v>612</v>
      </c>
      <c r="I37" s="95">
        <f t="shared" si="1"/>
        <v>612</v>
      </c>
      <c r="J37" s="95">
        <f t="shared" si="1"/>
        <v>0</v>
      </c>
      <c r="K37" s="95">
        <f t="shared" si="1"/>
        <v>788</v>
      </c>
      <c r="L37" s="95">
        <f t="shared" si="1"/>
        <v>612</v>
      </c>
      <c r="M37" s="95">
        <f t="shared" si="1"/>
        <v>306</v>
      </c>
      <c r="N37" s="95">
        <f t="shared" si="1"/>
        <v>0</v>
      </c>
      <c r="O37" s="95">
        <f t="shared" si="1"/>
        <v>0</v>
      </c>
      <c r="P37" s="95">
        <f t="shared" si="1"/>
        <v>0</v>
      </c>
      <c r="Q37" s="95">
        <f t="shared" si="1"/>
        <v>0</v>
      </c>
      <c r="R37" s="95">
        <f t="shared" si="1"/>
        <v>0</v>
      </c>
      <c r="S37" s="95">
        <f t="shared" si="1"/>
        <v>0</v>
      </c>
      <c r="T37" s="1"/>
      <c r="U37" s="1"/>
      <c r="V37" s="1"/>
      <c r="W37" s="1"/>
      <c r="X37" s="1"/>
    </row>
    <row r="38" spans="1:24" ht="13" x14ac:dyDescent="0.15">
      <c r="T38" s="1"/>
      <c r="U38" s="1"/>
      <c r="V38" s="1"/>
      <c r="W38" s="1"/>
      <c r="X38" s="1"/>
    </row>
    <row r="39" spans="1:24" ht="13" x14ac:dyDescent="0.15">
      <c r="T39" s="1"/>
      <c r="U39" s="1"/>
      <c r="V39" s="1"/>
      <c r="W39" s="1"/>
      <c r="X39" s="1"/>
    </row>
    <row r="40" spans="1:24" ht="13" x14ac:dyDescent="0.15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T40" s="1"/>
      <c r="U40" s="1"/>
      <c r="V40" s="1"/>
      <c r="W40" s="1"/>
      <c r="X40" s="1"/>
    </row>
    <row r="41" spans="1:24" ht="15" customHeight="1" thickBot="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T41" s="1"/>
      <c r="U41" s="1"/>
      <c r="V41" s="1"/>
      <c r="W41" s="1"/>
      <c r="X41" s="1"/>
    </row>
    <row r="42" spans="1:24" ht="18" x14ac:dyDescent="0.2">
      <c r="A42" s="10"/>
      <c r="B42" s="155" t="s">
        <v>39</v>
      </c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7"/>
      <c r="T42" s="1"/>
      <c r="U42" s="1"/>
      <c r="V42" s="1"/>
      <c r="W42" s="1"/>
      <c r="X42" s="1"/>
    </row>
    <row r="43" spans="1:24" ht="18" x14ac:dyDescent="0.2">
      <c r="A43" s="10"/>
      <c r="B43" s="74"/>
      <c r="C43" s="10"/>
      <c r="D43" s="75"/>
      <c r="E43" s="75"/>
      <c r="F43" s="75"/>
      <c r="G43" s="75"/>
      <c r="H43" s="75"/>
      <c r="I43" s="75"/>
      <c r="J43" s="10"/>
      <c r="K43" s="10"/>
      <c r="L43" s="10"/>
      <c r="M43" s="10"/>
      <c r="N43" s="76"/>
      <c r="T43" s="1"/>
      <c r="U43" s="1"/>
      <c r="V43" s="1"/>
      <c r="W43" s="1"/>
      <c r="X43" s="1"/>
    </row>
    <row r="44" spans="1:24" ht="15" customHeight="1" thickBot="1" x14ac:dyDescent="0.2">
      <c r="A44" s="10"/>
      <c r="B44" s="74"/>
      <c r="C44" s="118"/>
      <c r="D44" s="118"/>
      <c r="E44" s="119"/>
      <c r="F44" s="119"/>
      <c r="G44" s="119"/>
      <c r="H44" s="119"/>
      <c r="I44" s="119"/>
      <c r="J44" s="119"/>
      <c r="K44" s="10"/>
      <c r="L44" s="10"/>
      <c r="M44" s="10"/>
      <c r="N44" s="76"/>
      <c r="T44" s="1"/>
      <c r="U44" s="1"/>
      <c r="V44" s="1"/>
      <c r="W44" s="1"/>
      <c r="X44" s="1"/>
    </row>
    <row r="45" spans="1:24" ht="15" customHeight="1" x14ac:dyDescent="0.15">
      <c r="A45" s="10"/>
      <c r="B45" s="74"/>
      <c r="C45" s="137" t="s">
        <v>40</v>
      </c>
      <c r="D45" s="138" t="s">
        <v>41</v>
      </c>
      <c r="E45" s="139" t="s">
        <v>112</v>
      </c>
      <c r="F45" s="140" t="s">
        <v>42</v>
      </c>
      <c r="G45" s="10"/>
      <c r="H45" s="124" t="s">
        <v>0</v>
      </c>
      <c r="I45" s="125" t="s">
        <v>113</v>
      </c>
      <c r="J45" s="125" t="s">
        <v>114</v>
      </c>
      <c r="K45" s="123" t="s">
        <v>1</v>
      </c>
      <c r="L45" s="10"/>
      <c r="M45" s="10"/>
      <c r="N45" s="76"/>
      <c r="T45" s="1"/>
      <c r="U45" s="1"/>
      <c r="V45" s="1"/>
      <c r="W45" s="1"/>
      <c r="X45" s="1"/>
    </row>
    <row r="46" spans="1:24" ht="23.25" customHeight="1" thickBot="1" x14ac:dyDescent="0.2">
      <c r="A46" s="10"/>
      <c r="B46" s="74"/>
      <c r="C46" s="126">
        <f>SUMPRODUCT(T10:T15,T21:T26)</f>
        <v>36000000000</v>
      </c>
      <c r="D46" s="127">
        <f>SUMPRODUCT(B21:S26,B10:S15)</f>
        <v>70935918489.600006</v>
      </c>
      <c r="E46" s="129">
        <f>SUM(B37:S37)*X26</f>
        <v>215400000000</v>
      </c>
      <c r="F46" s="128">
        <f>SUM(C46:E46)</f>
        <v>322335918489.59998</v>
      </c>
      <c r="G46" s="10"/>
      <c r="H46" s="121">
        <f>SUM(B16:S16)</f>
        <v>12580</v>
      </c>
      <c r="I46" s="120">
        <f>SUMPRODUCT(T21:T26,U10:U15)</f>
        <v>5400</v>
      </c>
      <c r="J46" s="120">
        <f>SUM(U10:U15)</f>
        <v>7920</v>
      </c>
      <c r="K46" s="122">
        <f>SUM(B37:S37)</f>
        <v>7180</v>
      </c>
      <c r="L46" s="10"/>
      <c r="M46" s="10"/>
      <c r="N46" s="76"/>
      <c r="T46" s="1"/>
      <c r="U46" s="1"/>
      <c r="V46" s="1"/>
      <c r="W46" s="1"/>
      <c r="X46" s="1"/>
    </row>
    <row r="47" spans="1:24" ht="15" customHeight="1" x14ac:dyDescent="0.15">
      <c r="A47" s="10"/>
      <c r="B47" s="74"/>
      <c r="C47" s="119"/>
      <c r="D47" s="119"/>
      <c r="E47" s="119"/>
      <c r="F47" s="119"/>
      <c r="G47" s="119"/>
      <c r="H47" s="119"/>
      <c r="I47" s="119"/>
      <c r="J47" s="119"/>
      <c r="K47" s="10"/>
      <c r="L47" s="10"/>
      <c r="M47" s="10"/>
      <c r="N47" s="76"/>
    </row>
    <row r="48" spans="1:24" ht="15" customHeight="1" x14ac:dyDescent="0.15">
      <c r="A48" s="10"/>
      <c r="B48" s="74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76"/>
    </row>
    <row r="49" spans="1:14" ht="15" customHeight="1" thickBot="1" x14ac:dyDescent="0.2">
      <c r="A49" s="10"/>
      <c r="B49" s="77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9"/>
    </row>
    <row r="50" spans="1:14" ht="15" customHeight="1" x14ac:dyDescent="0.15">
      <c r="A50" s="10"/>
      <c r="B50" s="10"/>
      <c r="C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 x14ac:dyDescent="0.15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7" spans="1:14" ht="15" customHeight="1" x14ac:dyDescent="0.15">
      <c r="F57" s="11" t="s">
        <v>43</v>
      </c>
    </row>
  </sheetData>
  <mergeCells count="16">
    <mergeCell ref="B3:T3"/>
    <mergeCell ref="E18:P18"/>
    <mergeCell ref="E28:P28"/>
    <mergeCell ref="B7:S7"/>
    <mergeCell ref="B8:G8"/>
    <mergeCell ref="H8:M8"/>
    <mergeCell ref="N8:S8"/>
    <mergeCell ref="T8:U8"/>
    <mergeCell ref="B42:N42"/>
    <mergeCell ref="X9:Y10"/>
    <mergeCell ref="B19:G19"/>
    <mergeCell ref="H19:M19"/>
    <mergeCell ref="N19:S19"/>
    <mergeCell ref="B29:G29"/>
    <mergeCell ref="H29:M29"/>
    <mergeCell ref="N29:S29"/>
  </mergeCells>
  <phoneticPr fontId="18" type="noConversion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13CC5-22C3-4D2D-ADC2-A070EB27E780}">
  <dimension ref="A2:AF106"/>
  <sheetViews>
    <sheetView tabSelected="1" workbookViewId="0">
      <selection activeCell="G31" sqref="G31"/>
    </sheetView>
  </sheetViews>
  <sheetFormatPr baseColWidth="10" defaultColWidth="8.83203125" defaultRowHeight="13" x14ac:dyDescent="0.15"/>
  <cols>
    <col min="1" max="1" width="51.5" customWidth="1"/>
    <col min="2" max="2" width="18" customWidth="1"/>
    <col min="3" max="3" width="17.83203125" customWidth="1"/>
    <col min="4" max="4" width="24.83203125" customWidth="1"/>
    <col min="5" max="5" width="14.83203125" bestFit="1" customWidth="1"/>
    <col min="6" max="6" width="14.6640625" bestFit="1" customWidth="1"/>
    <col min="7" max="8" width="18.33203125" customWidth="1"/>
    <col min="9" max="9" width="14.6640625" bestFit="1" customWidth="1"/>
    <col min="12" max="12" width="17.5" customWidth="1"/>
    <col min="13" max="13" width="9.6640625" bestFit="1" customWidth="1"/>
    <col min="14" max="17" width="9.5" bestFit="1" customWidth="1"/>
    <col min="18" max="18" width="9.33203125" bestFit="1" customWidth="1"/>
    <col min="19" max="19" width="9.5" bestFit="1" customWidth="1"/>
    <col min="20" max="22" width="9.33203125" bestFit="1" customWidth="1"/>
    <col min="23" max="24" width="9.1640625" bestFit="1" customWidth="1"/>
    <col min="25" max="26" width="9" bestFit="1" customWidth="1"/>
    <col min="27" max="27" width="20.6640625" customWidth="1"/>
    <col min="28" max="28" width="9" bestFit="1" customWidth="1"/>
    <col min="31" max="31" width="30.5" customWidth="1"/>
    <col min="32" max="32" width="25.6640625" customWidth="1"/>
  </cols>
  <sheetData>
    <row r="2" spans="1:32" x14ac:dyDescent="0.15">
      <c r="A2" s="150" t="s">
        <v>44</v>
      </c>
      <c r="B2" s="150"/>
      <c r="C2" s="150"/>
      <c r="D2" s="150"/>
      <c r="E2" s="150"/>
      <c r="O2" s="145" t="s">
        <v>45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</row>
    <row r="3" spans="1:32" x14ac:dyDescent="0.15"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</row>
    <row r="4" spans="1:32" x14ac:dyDescent="0.15">
      <c r="A4" s="11" t="s">
        <v>121</v>
      </c>
    </row>
    <row r="5" spans="1:32" ht="14" thickBot="1" x14ac:dyDescent="0.2">
      <c r="A5" s="11" t="s">
        <v>117</v>
      </c>
      <c r="B5">
        <v>1000</v>
      </c>
    </row>
    <row r="6" spans="1:32" ht="14" thickBot="1" x14ac:dyDescent="0.2">
      <c r="A6" t="s">
        <v>46</v>
      </c>
      <c r="B6" s="132">
        <v>0.32</v>
      </c>
      <c r="C6" t="s">
        <v>47</v>
      </c>
      <c r="L6" s="110" t="s">
        <v>49</v>
      </c>
      <c r="M6" s="111" t="s">
        <v>4</v>
      </c>
      <c r="N6" s="112"/>
      <c r="O6" s="112"/>
      <c r="P6" s="112"/>
      <c r="Q6" s="112"/>
      <c r="R6" s="113"/>
      <c r="S6" s="111" t="s">
        <v>5</v>
      </c>
      <c r="T6" s="112"/>
      <c r="U6" s="112"/>
      <c r="V6" s="112"/>
      <c r="W6" s="112"/>
      <c r="X6" s="113"/>
      <c r="Y6" s="111" t="s">
        <v>6</v>
      </c>
      <c r="Z6" s="112"/>
      <c r="AA6" s="112"/>
      <c r="AB6" s="112"/>
      <c r="AC6" s="112"/>
      <c r="AD6" s="113"/>
      <c r="AE6" s="111" t="s">
        <v>7</v>
      </c>
      <c r="AF6" s="114"/>
    </row>
    <row r="7" spans="1:32" x14ac:dyDescent="0.15">
      <c r="A7" t="s">
        <v>48</v>
      </c>
      <c r="B7">
        <v>320</v>
      </c>
      <c r="L7" s="31" t="s">
        <v>8</v>
      </c>
      <c r="M7" s="22" t="s">
        <v>9</v>
      </c>
      <c r="N7" s="32" t="s">
        <v>10</v>
      </c>
      <c r="O7" s="32" t="s">
        <v>11</v>
      </c>
      <c r="P7" s="32" t="s">
        <v>12</v>
      </c>
      <c r="Q7" s="32" t="s">
        <v>13</v>
      </c>
      <c r="R7" s="33" t="s">
        <v>14</v>
      </c>
      <c r="S7" s="22" t="s">
        <v>9</v>
      </c>
      <c r="T7" s="32" t="s">
        <v>10</v>
      </c>
      <c r="U7" s="32" t="s">
        <v>11</v>
      </c>
      <c r="V7" s="32" t="s">
        <v>12</v>
      </c>
      <c r="W7" s="32" t="s">
        <v>13</v>
      </c>
      <c r="X7" s="32" t="s">
        <v>14</v>
      </c>
      <c r="Y7" s="22" t="s">
        <v>9</v>
      </c>
      <c r="Z7" s="32" t="s">
        <v>10</v>
      </c>
      <c r="AA7" s="32" t="s">
        <v>11</v>
      </c>
      <c r="AB7" s="32" t="s">
        <v>12</v>
      </c>
      <c r="AC7" s="32" t="s">
        <v>13</v>
      </c>
      <c r="AD7" s="33" t="s">
        <v>14</v>
      </c>
      <c r="AE7" s="22" t="s">
        <v>50</v>
      </c>
      <c r="AF7" s="34" t="s">
        <v>51</v>
      </c>
    </row>
    <row r="8" spans="1:32" x14ac:dyDescent="0.15">
      <c r="A8" s="11" t="s">
        <v>122</v>
      </c>
      <c r="L8" s="25" t="s">
        <v>18</v>
      </c>
      <c r="M8" s="6" cm="1">
        <f t="array" ref="M8:R8">TRANSPOSE($C$44:$C$49)</f>
        <v>2073.6000000000004</v>
      </c>
      <c r="N8" s="6">
        <v>2406.3999999999996</v>
      </c>
      <c r="O8" s="6">
        <v>793.6</v>
      </c>
      <c r="P8" s="6">
        <v>1126.4000000000001</v>
      </c>
      <c r="Q8" s="6">
        <v>1920</v>
      </c>
      <c r="R8" s="6">
        <v>1126.4000000000001</v>
      </c>
      <c r="S8" s="6" cm="1">
        <f t="array" ref="S8:X8">TRANSPOSE($C$44:$C$49)</f>
        <v>2073.6000000000004</v>
      </c>
      <c r="T8" s="6">
        <v>2406.3999999999996</v>
      </c>
      <c r="U8" s="6">
        <v>793.6</v>
      </c>
      <c r="V8" s="6">
        <v>1126.4000000000001</v>
      </c>
      <c r="W8" s="6">
        <v>1920</v>
      </c>
      <c r="X8" s="47">
        <v>1126.4000000000001</v>
      </c>
      <c r="Y8" s="47" cm="1">
        <f t="array" ref="Y8:AD8">TRANSPOSE($C$44:$C$49)</f>
        <v>2073.6000000000004</v>
      </c>
      <c r="Z8" s="47">
        <v>2406.3999999999996</v>
      </c>
      <c r="AA8" s="47">
        <v>793.6</v>
      </c>
      <c r="AB8" s="47">
        <v>1126.4000000000001</v>
      </c>
      <c r="AC8" s="47">
        <v>1920</v>
      </c>
      <c r="AD8" s="47">
        <v>1126.4000000000001</v>
      </c>
      <c r="AE8" s="62">
        <v>12</v>
      </c>
      <c r="AF8" s="35">
        <v>1.2</v>
      </c>
    </row>
    <row r="9" spans="1:32" x14ac:dyDescent="0.15">
      <c r="L9" s="25" t="s">
        <v>19</v>
      </c>
      <c r="M9" s="6" cm="1">
        <f t="array" ref="M9:R9">TRANSPOSE($C$44:$C$49)</f>
        <v>2073.6000000000004</v>
      </c>
      <c r="N9" s="6">
        <v>2406.3999999999996</v>
      </c>
      <c r="O9" s="6">
        <v>793.6</v>
      </c>
      <c r="P9" s="6">
        <v>1126.4000000000001</v>
      </c>
      <c r="Q9" s="6">
        <v>1920</v>
      </c>
      <c r="R9" s="6">
        <v>1126.4000000000001</v>
      </c>
      <c r="S9" s="6" cm="1">
        <f t="array" ref="S9:X9">TRANSPOSE($C$44:$C$49)</f>
        <v>2073.6000000000004</v>
      </c>
      <c r="T9" s="6">
        <v>2406.3999999999996</v>
      </c>
      <c r="U9" s="6">
        <v>793.6</v>
      </c>
      <c r="V9" s="6">
        <v>1126.4000000000001</v>
      </c>
      <c r="W9" s="16">
        <v>1920</v>
      </c>
      <c r="X9" s="48">
        <v>1126.4000000000001</v>
      </c>
      <c r="Y9" s="48" cm="1">
        <f t="array" ref="Y9:AD9">TRANSPOSE($C$44:$C$49)</f>
        <v>2073.6000000000004</v>
      </c>
      <c r="Z9" s="48">
        <v>2406.3999999999996</v>
      </c>
      <c r="AA9" s="48">
        <v>793.6</v>
      </c>
      <c r="AB9" s="48">
        <v>1126.4000000000001</v>
      </c>
      <c r="AC9" s="48">
        <v>1920</v>
      </c>
      <c r="AD9" s="48">
        <v>1126.4000000000001</v>
      </c>
      <c r="AE9" s="45">
        <v>12</v>
      </c>
      <c r="AF9" s="24">
        <v>3</v>
      </c>
    </row>
    <row r="10" spans="1:32" ht="20" x14ac:dyDescent="0.15">
      <c r="A10" s="154" t="s">
        <v>52</v>
      </c>
      <c r="B10" s="154"/>
      <c r="C10" s="154"/>
      <c r="D10" s="154"/>
      <c r="E10" s="154"/>
      <c r="L10" s="25" t="s">
        <v>20</v>
      </c>
      <c r="M10" s="6" cm="1">
        <f t="array" ref="M10:R10">TRANSPOSE($C$44:$C$49)</f>
        <v>2073.6000000000004</v>
      </c>
      <c r="N10" s="6">
        <v>2406.3999999999996</v>
      </c>
      <c r="O10" s="6">
        <v>793.6</v>
      </c>
      <c r="P10" s="6">
        <v>1126.4000000000001</v>
      </c>
      <c r="Q10" s="6">
        <v>1920</v>
      </c>
      <c r="R10" s="6">
        <v>1126.4000000000001</v>
      </c>
      <c r="S10" s="7"/>
      <c r="T10" s="7"/>
      <c r="U10" s="7"/>
      <c r="V10" s="7"/>
      <c r="W10" s="19"/>
      <c r="X10" s="65"/>
      <c r="Y10" s="65"/>
      <c r="Z10" s="65"/>
      <c r="AA10" s="65"/>
      <c r="AB10" s="65"/>
      <c r="AC10" s="65"/>
      <c r="AD10" s="65"/>
      <c r="AE10" s="45">
        <v>9.49</v>
      </c>
      <c r="AF10" s="24">
        <v>1.44</v>
      </c>
    </row>
    <row r="11" spans="1:32" x14ac:dyDescent="0.15">
      <c r="L11" s="25" t="s">
        <v>22</v>
      </c>
      <c r="M11" s="6" cm="1">
        <f t="array" ref="M11:R11">TRANSPOSE($C$71:$C$76)</f>
        <v>793.6</v>
      </c>
      <c r="N11" s="6">
        <v>640</v>
      </c>
      <c r="O11" s="6">
        <v>2252.8000000000002</v>
      </c>
      <c r="P11" s="6">
        <v>2073.6000000000004</v>
      </c>
      <c r="Q11" s="6">
        <v>1920</v>
      </c>
      <c r="R11" s="6">
        <v>1920</v>
      </c>
      <c r="S11" s="6" cm="1">
        <f t="array" ref="S11:X11">TRANSPOSE($C$71:$C$76)</f>
        <v>793.6</v>
      </c>
      <c r="T11" s="6">
        <v>640</v>
      </c>
      <c r="U11" s="6">
        <v>2252.8000000000002</v>
      </c>
      <c r="V11" s="6">
        <v>2073.6000000000004</v>
      </c>
      <c r="W11" s="16">
        <v>1920</v>
      </c>
      <c r="X11" s="48">
        <v>1920</v>
      </c>
      <c r="Y11" s="65"/>
      <c r="Z11" s="65"/>
      <c r="AA11" s="65"/>
      <c r="AB11" s="65"/>
      <c r="AC11" s="65"/>
      <c r="AD11" s="65"/>
      <c r="AE11" s="45">
        <v>65</v>
      </c>
      <c r="AF11" s="24">
        <v>0.72</v>
      </c>
    </row>
    <row r="12" spans="1:32" x14ac:dyDescent="0.15">
      <c r="A12" s="150" t="s">
        <v>53</v>
      </c>
      <c r="B12" s="151"/>
      <c r="C12" s="151"/>
      <c r="L12" s="25" t="s">
        <v>23</v>
      </c>
      <c r="M12" s="7"/>
      <c r="N12" s="7"/>
      <c r="O12" s="7"/>
      <c r="P12" s="7"/>
      <c r="Q12" s="7"/>
      <c r="R12" s="7"/>
      <c r="S12" s="6" cm="1">
        <f t="array" ref="S12:X12">TRANSPOSE($C$44:$C$49)</f>
        <v>2073.6000000000004</v>
      </c>
      <c r="T12" s="6">
        <v>2406.3999999999996</v>
      </c>
      <c r="U12" s="6">
        <v>793.6</v>
      </c>
      <c r="V12" s="6">
        <v>1126.4000000000001</v>
      </c>
      <c r="W12" s="16">
        <v>1920</v>
      </c>
      <c r="X12" s="48">
        <v>1126.4000000000001</v>
      </c>
      <c r="Y12" s="48" cm="1">
        <f t="array" ref="Y12:AD12">TRANSPOSE($C$44:$C$49)</f>
        <v>2073.6000000000004</v>
      </c>
      <c r="Z12" s="48">
        <v>2406.3999999999996</v>
      </c>
      <c r="AA12" s="48">
        <v>793.6</v>
      </c>
      <c r="AB12" s="48">
        <v>1126.4000000000001</v>
      </c>
      <c r="AC12" s="48">
        <v>1920</v>
      </c>
      <c r="AD12" s="48">
        <v>1126.4000000000001</v>
      </c>
      <c r="AE12" s="45">
        <v>2.87</v>
      </c>
      <c r="AF12" s="24">
        <v>1.2</v>
      </c>
    </row>
    <row r="13" spans="1:32" ht="14" thickBot="1" x14ac:dyDescent="0.2">
      <c r="A13" t="s">
        <v>54</v>
      </c>
      <c r="B13" t="s">
        <v>55</v>
      </c>
      <c r="C13" t="s">
        <v>56</v>
      </c>
      <c r="L13" s="25" t="s">
        <v>25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63"/>
      <c r="Y13" s="63"/>
      <c r="Z13" s="63"/>
      <c r="AA13" s="63"/>
      <c r="AB13" s="63"/>
      <c r="AC13" s="63"/>
      <c r="AD13" s="63"/>
      <c r="AE13" s="64">
        <v>24</v>
      </c>
      <c r="AF13" s="36">
        <v>1.2</v>
      </c>
    </row>
    <row r="14" spans="1:32" ht="14" thickBot="1" x14ac:dyDescent="0.2">
      <c r="A14" t="s">
        <v>57</v>
      </c>
      <c r="B14" s="18">
        <f>D71/D44</f>
        <v>1.3</v>
      </c>
      <c r="C14">
        <f>E89/E53</f>
        <v>1.2</v>
      </c>
      <c r="L14" s="37" t="s">
        <v>26</v>
      </c>
      <c r="M14" s="38">
        <f>TSMC!B16</f>
        <v>425</v>
      </c>
      <c r="N14" s="38">
        <f>TSMC!C16</f>
        <v>425</v>
      </c>
      <c r="O14" s="38">
        <f>TSMC!D16</f>
        <v>1275</v>
      </c>
      <c r="P14" s="38">
        <f>TSMC!E16</f>
        <v>1487.5</v>
      </c>
      <c r="Q14" s="38">
        <f>TSMC!F16</f>
        <v>425</v>
      </c>
      <c r="R14" s="38">
        <f>TSMC!G16</f>
        <v>212.5</v>
      </c>
      <c r="S14" s="38">
        <f>TSMC!H16</f>
        <v>612</v>
      </c>
      <c r="T14" s="38">
        <f>TSMC!I16</f>
        <v>612</v>
      </c>
      <c r="U14" s="38">
        <f>TSMC!J16</f>
        <v>1836</v>
      </c>
      <c r="V14" s="38">
        <f>TSMC!K16</f>
        <v>2142</v>
      </c>
      <c r="W14" s="38">
        <f>TSMC!L16</f>
        <v>612</v>
      </c>
      <c r="X14" s="38">
        <f>TSMC!M16</f>
        <v>306</v>
      </c>
      <c r="Y14" s="38">
        <f>TSMC!N16</f>
        <v>221</v>
      </c>
      <c r="Z14" s="38">
        <f>TSMC!O16</f>
        <v>221</v>
      </c>
      <c r="AA14" s="38">
        <f>TSMC!P16</f>
        <v>663</v>
      </c>
      <c r="AB14" s="38">
        <f>TSMC!Q16</f>
        <v>773.5</v>
      </c>
      <c r="AC14" s="38">
        <f>TSMC!R16</f>
        <v>221</v>
      </c>
      <c r="AD14" s="38">
        <f>TSMC!S16</f>
        <v>110.5</v>
      </c>
      <c r="AE14" s="39"/>
      <c r="AF14" s="40"/>
    </row>
    <row r="16" spans="1:32" x14ac:dyDescent="0.15">
      <c r="A16" s="150" t="s">
        <v>58</v>
      </c>
      <c r="B16" s="150"/>
      <c r="C16" s="150"/>
    </row>
    <row r="18" spans="1:32" x14ac:dyDescent="0.15">
      <c r="A18" s="131" t="s">
        <v>59</v>
      </c>
      <c r="B18" s="131" t="s">
        <v>60</v>
      </c>
      <c r="C18" s="131" t="s">
        <v>61</v>
      </c>
    </row>
    <row r="19" spans="1:32" x14ac:dyDescent="0.15">
      <c r="A19" s="134">
        <v>20000</v>
      </c>
      <c r="B19" s="134">
        <v>16000</v>
      </c>
      <c r="C19" s="134">
        <v>9000</v>
      </c>
    </row>
    <row r="20" spans="1:32" x14ac:dyDescent="0.15">
      <c r="A20" s="134"/>
      <c r="B20" s="134"/>
      <c r="C20" s="134"/>
    </row>
    <row r="22" spans="1:32" x14ac:dyDescent="0.15">
      <c r="A22" s="150" t="s">
        <v>62</v>
      </c>
      <c r="B22" s="150"/>
      <c r="C22" s="150"/>
      <c r="L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2" x14ac:dyDescent="0.15">
      <c r="A23" t="s">
        <v>63</v>
      </c>
      <c r="D23" s="11" t="s">
        <v>64</v>
      </c>
      <c r="F23">
        <f>1/0.74</f>
        <v>1.3513513513513513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spans="1:32" ht="14" thickBot="1" x14ac:dyDescent="0.2">
      <c r="A24" s="11" t="s">
        <v>119</v>
      </c>
      <c r="B24">
        <v>17000000</v>
      </c>
      <c r="C24" s="11" t="s">
        <v>65</v>
      </c>
      <c r="D24">
        <f>B24*0.74</f>
        <v>12580000</v>
      </c>
      <c r="AD24" s="10"/>
      <c r="AE24" s="20"/>
      <c r="AF24" s="20"/>
    </row>
    <row r="25" spans="1:32" x14ac:dyDescent="0.15">
      <c r="A25" s="11" t="s">
        <v>66</v>
      </c>
      <c r="C25">
        <f>0.25</f>
        <v>0.25</v>
      </c>
      <c r="D25">
        <v>0.36</v>
      </c>
      <c r="E25">
        <v>0.13</v>
      </c>
      <c r="F25" s="11" t="s">
        <v>67</v>
      </c>
      <c r="L25" s="110" t="s">
        <v>68</v>
      </c>
      <c r="M25" s="146" t="s">
        <v>4</v>
      </c>
      <c r="N25" s="147"/>
      <c r="O25" s="147"/>
      <c r="P25" s="147"/>
      <c r="Q25" s="147"/>
      <c r="R25" s="148"/>
      <c r="S25" s="146" t="s">
        <v>5</v>
      </c>
      <c r="T25" s="147"/>
      <c r="U25" s="147"/>
      <c r="V25" s="147"/>
      <c r="W25" s="147"/>
      <c r="X25" s="148"/>
      <c r="Y25" s="146" t="s">
        <v>6</v>
      </c>
      <c r="Z25" s="147"/>
      <c r="AA25" s="147"/>
      <c r="AB25" s="147"/>
      <c r="AC25" s="147"/>
      <c r="AD25" s="149"/>
      <c r="AE25" s="20"/>
      <c r="AF25" s="20"/>
    </row>
    <row r="26" spans="1:32" x14ac:dyDescent="0.15">
      <c r="L26" s="23" t="s">
        <v>8</v>
      </c>
      <c r="M26" s="2" t="s">
        <v>9</v>
      </c>
      <c r="N26" s="3" t="s">
        <v>10</v>
      </c>
      <c r="O26" s="3" t="s">
        <v>11</v>
      </c>
      <c r="P26" s="3" t="s">
        <v>12</v>
      </c>
      <c r="Q26" s="3" t="s">
        <v>13</v>
      </c>
      <c r="R26" s="4" t="s">
        <v>14</v>
      </c>
      <c r="S26" s="2" t="s">
        <v>9</v>
      </c>
      <c r="T26" s="3" t="s">
        <v>10</v>
      </c>
      <c r="U26" s="3" t="s">
        <v>11</v>
      </c>
      <c r="V26" s="3" t="s">
        <v>12</v>
      </c>
      <c r="W26" s="3" t="s">
        <v>13</v>
      </c>
      <c r="X26" s="3" t="s">
        <v>14</v>
      </c>
      <c r="Y26" s="2" t="s">
        <v>9</v>
      </c>
      <c r="Z26" s="3" t="s">
        <v>10</v>
      </c>
      <c r="AA26" s="3" t="s">
        <v>11</v>
      </c>
      <c r="AB26" s="3" t="s">
        <v>12</v>
      </c>
      <c r="AC26" s="3" t="s">
        <v>13</v>
      </c>
      <c r="AD26" s="24" t="s">
        <v>14</v>
      </c>
      <c r="AE26" s="8"/>
      <c r="AF26" s="8"/>
    </row>
    <row r="27" spans="1:32" ht="14" thickBot="1" x14ac:dyDescent="0.2">
      <c r="A27" s="153" t="s">
        <v>69</v>
      </c>
      <c r="B27" s="153"/>
      <c r="C27" s="153"/>
      <c r="L27" s="25" t="s">
        <v>18</v>
      </c>
      <c r="M27" s="6">
        <f>A$19*1000</f>
        <v>20000000</v>
      </c>
      <c r="N27" s="6">
        <f>A$19*1000</f>
        <v>20000000</v>
      </c>
      <c r="O27" s="6">
        <f>A$19*1000</f>
        <v>20000000</v>
      </c>
      <c r="P27" s="6">
        <f>A$19*1000</f>
        <v>20000000</v>
      </c>
      <c r="Q27" s="6">
        <f>A$19*1000</f>
        <v>20000000</v>
      </c>
      <c r="R27" s="6">
        <f>A$19*1000</f>
        <v>20000000</v>
      </c>
      <c r="S27" s="6" cm="1">
        <f t="array" ref="S27:X27">TRANSPOSE($E44:E49)</f>
        <v>16000000</v>
      </c>
      <c r="T27" s="6">
        <v>16000000</v>
      </c>
      <c r="U27" s="6">
        <v>16000000</v>
      </c>
      <c r="V27" s="6">
        <v>16000000</v>
      </c>
      <c r="W27" s="6">
        <v>16000000</v>
      </c>
      <c r="X27" s="6">
        <v>16000000</v>
      </c>
      <c r="Y27" s="6" cm="1">
        <f t="array" ref="Y27:AD27">TRANSPOSE(F44:F49)</f>
        <v>9000000</v>
      </c>
      <c r="Z27" s="6">
        <v>9000000</v>
      </c>
      <c r="AA27" s="6">
        <v>9000000</v>
      </c>
      <c r="AB27" s="6">
        <v>9000000</v>
      </c>
      <c r="AC27" s="6">
        <v>9000000</v>
      </c>
      <c r="AD27" s="26">
        <v>9000000</v>
      </c>
      <c r="AE27" s="8"/>
      <c r="AF27" s="8"/>
    </row>
    <row r="28" spans="1:32" ht="14" thickTop="1" x14ac:dyDescent="0.15">
      <c r="A28" s="142" t="s">
        <v>70</v>
      </c>
      <c r="B28" s="135"/>
      <c r="C28" s="141">
        <f>C25*$F$23</f>
        <v>0.33783783783783783</v>
      </c>
      <c r="D28" s="141">
        <f>D25*$F$23</f>
        <v>0.48648648648648646</v>
      </c>
      <c r="E28" s="141">
        <f>E25*$F$23</f>
        <v>0.17567567567567569</v>
      </c>
      <c r="L28" s="25" t="s">
        <v>19</v>
      </c>
      <c r="M28" s="6">
        <f>A$19*1000</f>
        <v>20000000</v>
      </c>
      <c r="N28" s="6">
        <f>A$19*1000</f>
        <v>20000000</v>
      </c>
      <c r="O28" s="6">
        <f>A$19*1000</f>
        <v>20000000</v>
      </c>
      <c r="P28" s="6">
        <f>A$19*1000</f>
        <v>20000000</v>
      </c>
      <c r="Q28" s="6">
        <f>A$19*1000</f>
        <v>20000000</v>
      </c>
      <c r="R28" s="6">
        <f>A$19*1000</f>
        <v>20000000</v>
      </c>
      <c r="S28" s="6" cm="1">
        <f t="array" ref="S28:X28">TRANSPOSE($E44:E49)</f>
        <v>16000000</v>
      </c>
      <c r="T28" s="6">
        <v>16000000</v>
      </c>
      <c r="U28" s="6">
        <v>16000000</v>
      </c>
      <c r="V28" s="6">
        <v>16000000</v>
      </c>
      <c r="W28" s="6">
        <v>16000000</v>
      </c>
      <c r="X28" s="6">
        <v>16000000</v>
      </c>
      <c r="Y28" s="6" cm="1">
        <f t="array" ref="Y28:AD28">TRANSPOSE(F44:F49)</f>
        <v>9000000</v>
      </c>
      <c r="Z28" s="6">
        <v>9000000</v>
      </c>
      <c r="AA28" s="6">
        <v>9000000</v>
      </c>
      <c r="AB28" s="6">
        <v>9000000</v>
      </c>
      <c r="AC28" s="6">
        <v>9000000</v>
      </c>
      <c r="AD28" s="26">
        <v>9000000</v>
      </c>
      <c r="AE28" s="8"/>
      <c r="AF28" s="8"/>
    </row>
    <row r="29" spans="1:32" x14ac:dyDescent="0.15">
      <c r="A29" s="135" t="s">
        <v>71</v>
      </c>
      <c r="B29" s="135" t="s">
        <v>72</v>
      </c>
      <c r="C29" s="135" t="s">
        <v>73</v>
      </c>
      <c r="D29" s="135" t="s">
        <v>74</v>
      </c>
      <c r="E29" s="135" t="s">
        <v>75</v>
      </c>
      <c r="L29" s="25" t="s">
        <v>20</v>
      </c>
      <c r="M29" s="6">
        <f>A$19*1000</f>
        <v>20000000</v>
      </c>
      <c r="N29" s="6">
        <f>A$19*1000</f>
        <v>20000000</v>
      </c>
      <c r="O29" s="6">
        <f>A$19*1000</f>
        <v>20000000</v>
      </c>
      <c r="P29" s="6">
        <f>A$19*1000</f>
        <v>20000000</v>
      </c>
      <c r="Q29" s="6">
        <f>A$19*1000</f>
        <v>20000000</v>
      </c>
      <c r="R29" s="6">
        <f>A$19*1000</f>
        <v>20000000</v>
      </c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27"/>
      <c r="AE29" s="8"/>
      <c r="AF29" s="8"/>
    </row>
    <row r="30" spans="1:32" x14ac:dyDescent="0.15">
      <c r="A30" t="s">
        <v>76</v>
      </c>
      <c r="B30">
        <v>0.1</v>
      </c>
      <c r="C30">
        <f t="shared" ref="C30:E35" si="0">ROUND($D$24*C$28*$B30,0)</f>
        <v>425000</v>
      </c>
      <c r="D30">
        <f t="shared" si="0"/>
        <v>612000</v>
      </c>
      <c r="E30">
        <f t="shared" si="0"/>
        <v>221000</v>
      </c>
      <c r="L30" s="25" t="s">
        <v>22</v>
      </c>
      <c r="M30" s="6" cm="1">
        <f t="array" ref="M30:R30">TRANSPOSE(D71:D76)</f>
        <v>26000000</v>
      </c>
      <c r="N30" s="6">
        <v>26000000</v>
      </c>
      <c r="O30" s="6">
        <v>26000000</v>
      </c>
      <c r="P30" s="6">
        <v>26000000</v>
      </c>
      <c r="Q30" s="6">
        <v>26000000</v>
      </c>
      <c r="R30" s="6">
        <v>26000000</v>
      </c>
      <c r="S30" s="6" cm="1">
        <f t="array" ref="S30:X30">TRANSPOSE(E71:E76)</f>
        <v>20800000</v>
      </c>
      <c r="T30" s="6">
        <v>20800000</v>
      </c>
      <c r="U30" s="6">
        <v>20800000</v>
      </c>
      <c r="V30" s="6">
        <v>20800000</v>
      </c>
      <c r="W30" s="6">
        <v>20800000</v>
      </c>
      <c r="X30" s="6">
        <v>20800000</v>
      </c>
      <c r="Y30" s="7"/>
      <c r="Z30" s="7"/>
      <c r="AA30" s="7"/>
      <c r="AB30" s="7"/>
      <c r="AC30" s="7"/>
      <c r="AD30" s="27"/>
      <c r="AE30" s="8"/>
      <c r="AF30" s="8"/>
    </row>
    <row r="31" spans="1:32" x14ac:dyDescent="0.15">
      <c r="A31" t="s">
        <v>77</v>
      </c>
      <c r="B31">
        <v>0.1</v>
      </c>
      <c r="C31">
        <f t="shared" si="0"/>
        <v>425000</v>
      </c>
      <c r="D31">
        <f t="shared" si="0"/>
        <v>612000</v>
      </c>
      <c r="E31">
        <f t="shared" si="0"/>
        <v>221000</v>
      </c>
      <c r="L31" s="25" t="s">
        <v>23</v>
      </c>
      <c r="M31" s="7"/>
      <c r="N31" s="7"/>
      <c r="O31" s="7"/>
      <c r="P31" s="7"/>
      <c r="Q31" s="7"/>
      <c r="R31" s="7"/>
      <c r="S31" s="6" cm="1">
        <f t="array" ref="S31:X31">TRANSPOSE(E44:E49)</f>
        <v>16000000</v>
      </c>
      <c r="T31" s="6">
        <v>16000000</v>
      </c>
      <c r="U31" s="6">
        <v>16000000</v>
      </c>
      <c r="V31" s="6">
        <v>16000000</v>
      </c>
      <c r="W31" s="6">
        <v>16000000</v>
      </c>
      <c r="X31" s="6">
        <v>16000000</v>
      </c>
      <c r="Y31" s="6" cm="1">
        <f t="array" ref="Y31:AD31">TRANSPOSE(F44:F49)</f>
        <v>9000000</v>
      </c>
      <c r="Z31" s="6">
        <v>9000000</v>
      </c>
      <c r="AA31" s="6">
        <v>9000000</v>
      </c>
      <c r="AB31" s="6">
        <v>9000000</v>
      </c>
      <c r="AC31" s="6">
        <v>9000000</v>
      </c>
      <c r="AD31" s="26">
        <v>9000000</v>
      </c>
      <c r="AE31" s="8"/>
      <c r="AF31" s="8"/>
    </row>
    <row r="32" spans="1:32" ht="14" thickBot="1" x14ac:dyDescent="0.2">
      <c r="A32" s="11" t="s">
        <v>78</v>
      </c>
      <c r="B32">
        <v>0.3</v>
      </c>
      <c r="C32">
        <f t="shared" si="0"/>
        <v>1275000</v>
      </c>
      <c r="D32">
        <f t="shared" si="0"/>
        <v>1836000</v>
      </c>
      <c r="E32">
        <f t="shared" si="0"/>
        <v>663000</v>
      </c>
      <c r="L32" s="28" t="s">
        <v>25</v>
      </c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30"/>
      <c r="AE32" s="20"/>
      <c r="AF32" s="20"/>
    </row>
    <row r="33" spans="1:10" x14ac:dyDescent="0.15">
      <c r="A33" t="s">
        <v>79</v>
      </c>
      <c r="B33">
        <v>0.35</v>
      </c>
      <c r="C33">
        <f t="shared" si="0"/>
        <v>1487500</v>
      </c>
      <c r="D33">
        <f t="shared" si="0"/>
        <v>2142000</v>
      </c>
      <c r="E33">
        <f t="shared" si="0"/>
        <v>773500</v>
      </c>
    </row>
    <row r="34" spans="1:10" ht="13" customHeight="1" x14ac:dyDescent="0.15">
      <c r="A34" t="s">
        <v>80</v>
      </c>
      <c r="B34">
        <v>0.1</v>
      </c>
      <c r="C34">
        <f t="shared" si="0"/>
        <v>425000</v>
      </c>
      <c r="D34">
        <f t="shared" si="0"/>
        <v>612000</v>
      </c>
      <c r="E34">
        <f t="shared" si="0"/>
        <v>221000</v>
      </c>
    </row>
    <row r="35" spans="1:10" ht="14" thickBot="1" x14ac:dyDescent="0.2">
      <c r="A35" t="s">
        <v>81</v>
      </c>
      <c r="B35">
        <v>0.05</v>
      </c>
      <c r="C35">
        <f t="shared" si="0"/>
        <v>212500</v>
      </c>
      <c r="D35">
        <f t="shared" si="0"/>
        <v>306000</v>
      </c>
      <c r="E35">
        <f t="shared" si="0"/>
        <v>110500</v>
      </c>
    </row>
    <row r="36" spans="1:10" ht="14" thickBot="1" x14ac:dyDescent="0.2">
      <c r="A36" t="s">
        <v>82</v>
      </c>
      <c r="B36">
        <f>SUM(B30:B35)</f>
        <v>1</v>
      </c>
      <c r="C36">
        <f>SUM(C30:C35)</f>
        <v>4250000</v>
      </c>
      <c r="D36">
        <f>SUM(D30:D35)</f>
        <v>6120000</v>
      </c>
      <c r="E36">
        <f>SUM(E30:E35)</f>
        <v>2210000</v>
      </c>
      <c r="F36" s="117">
        <f>SUM(C36:E36)</f>
        <v>12580000</v>
      </c>
      <c r="G36" s="116" t="s">
        <v>83</v>
      </c>
    </row>
    <row r="37" spans="1:10" ht="30" x14ac:dyDescent="0.3">
      <c r="A37" s="152" t="s">
        <v>84</v>
      </c>
      <c r="B37" s="152"/>
      <c r="C37" s="152"/>
      <c r="D37" s="152"/>
      <c r="E37" s="152"/>
      <c r="F37" s="152"/>
      <c r="G37" s="152"/>
      <c r="H37" s="152"/>
      <c r="I37" s="152"/>
      <c r="J37" s="152"/>
    </row>
    <row r="38" spans="1:10" x14ac:dyDescent="0.15">
      <c r="A38" s="109"/>
      <c r="B38" s="109"/>
      <c r="C38" s="109"/>
      <c r="D38" s="109"/>
      <c r="E38" s="109"/>
      <c r="F38" s="109"/>
      <c r="G38" s="109"/>
      <c r="H38" s="109"/>
      <c r="I38" s="109"/>
      <c r="J38" s="109"/>
    </row>
    <row r="40" spans="1:10" ht="14" thickBot="1" x14ac:dyDescent="0.2"/>
    <row r="41" spans="1:10" x14ac:dyDescent="0.15">
      <c r="A41" s="21"/>
      <c r="B41" s="72"/>
      <c r="C41" s="72"/>
      <c r="D41" s="72"/>
      <c r="E41" s="72"/>
      <c r="F41" s="72"/>
      <c r="G41" s="72"/>
      <c r="H41" s="72"/>
      <c r="I41" s="72"/>
      <c r="J41" s="73"/>
    </row>
    <row r="42" spans="1:10" ht="14.25" customHeight="1" x14ac:dyDescent="0.15">
      <c r="A42" s="74" t="s">
        <v>85</v>
      </c>
      <c r="B42" s="144" t="s">
        <v>86</v>
      </c>
      <c r="C42" s="143"/>
      <c r="D42" s="143" t="s">
        <v>87</v>
      </c>
      <c r="E42" s="143"/>
      <c r="F42" s="143"/>
      <c r="G42" s="144" t="s">
        <v>88</v>
      </c>
      <c r="H42" s="143"/>
      <c r="I42" s="143"/>
      <c r="J42" s="76"/>
    </row>
    <row r="43" spans="1:10" ht="15" x14ac:dyDescent="0.2">
      <c r="A43" s="56" t="s">
        <v>89</v>
      </c>
      <c r="B43" s="57" t="s">
        <v>90</v>
      </c>
      <c r="C43" s="57" t="s">
        <v>91</v>
      </c>
      <c r="D43" s="58" t="s">
        <v>92</v>
      </c>
      <c r="E43" s="58" t="s">
        <v>93</v>
      </c>
      <c r="F43" s="58" t="s">
        <v>94</v>
      </c>
      <c r="G43" s="59" t="s">
        <v>95</v>
      </c>
      <c r="H43" s="60" t="s">
        <v>96</v>
      </c>
      <c r="I43" s="61" t="s">
        <v>97</v>
      </c>
      <c r="J43" s="76"/>
    </row>
    <row r="44" spans="1:10" x14ac:dyDescent="0.15">
      <c r="A44" s="74" t="s">
        <v>76</v>
      </c>
      <c r="B44" s="133">
        <v>6.48</v>
      </c>
      <c r="C44" s="133">
        <f t="shared" ref="C44:C49" si="1">B44*$B$7</f>
        <v>2073.6000000000004</v>
      </c>
      <c r="D44" s="133">
        <f>A$19*$B$5</f>
        <v>20000000</v>
      </c>
      <c r="E44" s="133">
        <f t="shared" ref="E44:F44" si="2">B$19*$B$5</f>
        <v>16000000</v>
      </c>
      <c r="F44" s="133">
        <f t="shared" si="2"/>
        <v>9000000</v>
      </c>
      <c r="G44" s="133">
        <f t="shared" ref="G44:I49" si="3">$C44+D44</f>
        <v>20002073.600000001</v>
      </c>
      <c r="H44" s="133">
        <f t="shared" si="3"/>
        <v>16002073.6</v>
      </c>
      <c r="I44" s="133">
        <f t="shared" si="3"/>
        <v>9002073.5999999996</v>
      </c>
      <c r="J44" s="76"/>
    </row>
    <row r="45" spans="1:10" x14ac:dyDescent="0.15">
      <c r="A45" s="74" t="s">
        <v>77</v>
      </c>
      <c r="B45" s="133">
        <v>7.52</v>
      </c>
      <c r="C45" s="133">
        <f t="shared" si="1"/>
        <v>2406.3999999999996</v>
      </c>
      <c r="D45" s="133">
        <f t="shared" ref="D45:D49" si="4">A$19*$B$5</f>
        <v>20000000</v>
      </c>
      <c r="E45" s="133">
        <f t="shared" ref="E45:E49" si="5">B$19*$B$5</f>
        <v>16000000</v>
      </c>
      <c r="F45" s="133">
        <f t="shared" ref="F45:F49" si="6">C$19*$B$5</f>
        <v>9000000</v>
      </c>
      <c r="G45" s="133">
        <f t="shared" si="3"/>
        <v>20002406.399999999</v>
      </c>
      <c r="H45" s="133">
        <f t="shared" si="3"/>
        <v>16002406.4</v>
      </c>
      <c r="I45" s="133">
        <f t="shared" si="3"/>
        <v>9002406.4000000004</v>
      </c>
      <c r="J45" s="76"/>
    </row>
    <row r="46" spans="1:10" x14ac:dyDescent="0.15">
      <c r="A46" s="74" t="s">
        <v>78</v>
      </c>
      <c r="B46" s="133">
        <v>2.48</v>
      </c>
      <c r="C46" s="133">
        <f t="shared" si="1"/>
        <v>793.6</v>
      </c>
      <c r="D46" s="133">
        <f t="shared" si="4"/>
        <v>20000000</v>
      </c>
      <c r="E46" s="133">
        <f t="shared" si="5"/>
        <v>16000000</v>
      </c>
      <c r="F46" s="133">
        <f t="shared" si="6"/>
        <v>9000000</v>
      </c>
      <c r="G46" s="133">
        <f t="shared" si="3"/>
        <v>20000793.600000001</v>
      </c>
      <c r="H46" s="133">
        <f t="shared" si="3"/>
        <v>16000793.6</v>
      </c>
      <c r="I46" s="133">
        <f t="shared" si="3"/>
        <v>9000793.5999999996</v>
      </c>
      <c r="J46" s="76"/>
    </row>
    <row r="47" spans="1:10" x14ac:dyDescent="0.15">
      <c r="A47" s="74" t="s">
        <v>79</v>
      </c>
      <c r="B47" s="133">
        <v>3.52</v>
      </c>
      <c r="C47" s="133">
        <f t="shared" si="1"/>
        <v>1126.4000000000001</v>
      </c>
      <c r="D47" s="133">
        <f t="shared" si="4"/>
        <v>20000000</v>
      </c>
      <c r="E47" s="133">
        <f t="shared" si="5"/>
        <v>16000000</v>
      </c>
      <c r="F47" s="133">
        <f t="shared" si="6"/>
        <v>9000000</v>
      </c>
      <c r="G47" s="133">
        <f t="shared" si="3"/>
        <v>20001126.399999999</v>
      </c>
      <c r="H47" s="133">
        <f t="shared" si="3"/>
        <v>16001126.4</v>
      </c>
      <c r="I47" s="133">
        <f t="shared" si="3"/>
        <v>9001126.4000000004</v>
      </c>
      <c r="J47" s="76"/>
    </row>
    <row r="48" spans="1:10" x14ac:dyDescent="0.15">
      <c r="A48" s="74" t="s">
        <v>80</v>
      </c>
      <c r="B48" s="133">
        <v>6</v>
      </c>
      <c r="C48" s="133">
        <f t="shared" si="1"/>
        <v>1920</v>
      </c>
      <c r="D48" s="133">
        <f t="shared" si="4"/>
        <v>20000000</v>
      </c>
      <c r="E48" s="133">
        <f t="shared" si="5"/>
        <v>16000000</v>
      </c>
      <c r="F48" s="133">
        <f t="shared" si="6"/>
        <v>9000000</v>
      </c>
      <c r="G48" s="133">
        <f t="shared" si="3"/>
        <v>20001920</v>
      </c>
      <c r="H48" s="133">
        <f t="shared" si="3"/>
        <v>16001920</v>
      </c>
      <c r="I48" s="133">
        <f t="shared" si="3"/>
        <v>9001920</v>
      </c>
      <c r="J48" s="76"/>
    </row>
    <row r="49" spans="1:10" x14ac:dyDescent="0.15">
      <c r="A49" s="74" t="s">
        <v>81</v>
      </c>
      <c r="B49" s="133">
        <v>3.52</v>
      </c>
      <c r="C49" s="133">
        <f t="shared" si="1"/>
        <v>1126.4000000000001</v>
      </c>
      <c r="D49" s="133">
        <f t="shared" si="4"/>
        <v>20000000</v>
      </c>
      <c r="E49" s="133">
        <f t="shared" si="5"/>
        <v>16000000</v>
      </c>
      <c r="F49" s="133">
        <f t="shared" si="6"/>
        <v>9000000</v>
      </c>
      <c r="G49" s="133">
        <f t="shared" si="3"/>
        <v>20001126.399999999</v>
      </c>
      <c r="H49" s="133">
        <f t="shared" si="3"/>
        <v>16001126.4</v>
      </c>
      <c r="I49" s="133">
        <f t="shared" si="3"/>
        <v>9001126.4000000004</v>
      </c>
      <c r="J49" s="76"/>
    </row>
    <row r="50" spans="1:10" x14ac:dyDescent="0.15">
      <c r="A50" s="74"/>
      <c r="B50" s="10"/>
      <c r="C50" s="10"/>
      <c r="D50" s="10"/>
      <c r="E50" s="10"/>
      <c r="F50" s="10"/>
      <c r="G50" s="10"/>
      <c r="H50" s="10"/>
      <c r="I50" s="10"/>
      <c r="J50" s="76"/>
    </row>
    <row r="51" spans="1:10" x14ac:dyDescent="0.15">
      <c r="A51" s="107" t="s">
        <v>98</v>
      </c>
      <c r="B51" s="10"/>
      <c r="C51" s="10"/>
      <c r="D51" s="10"/>
      <c r="E51" s="10"/>
      <c r="F51" s="10"/>
      <c r="G51" s="10"/>
      <c r="H51" s="10"/>
      <c r="I51" s="10"/>
      <c r="J51" s="76"/>
    </row>
    <row r="52" spans="1:10" x14ac:dyDescent="0.15">
      <c r="A52" s="74" t="s">
        <v>89</v>
      </c>
      <c r="B52" s="10" t="s">
        <v>90</v>
      </c>
      <c r="C52" s="10" t="s">
        <v>91</v>
      </c>
      <c r="D52" s="10"/>
      <c r="E52" s="10"/>
      <c r="F52" s="10"/>
      <c r="G52" s="10"/>
      <c r="H52" s="10"/>
      <c r="I52" s="10"/>
      <c r="J52" s="76"/>
    </row>
    <row r="53" spans="1:10" x14ac:dyDescent="0.15">
      <c r="A53" s="74" t="s">
        <v>76</v>
      </c>
      <c r="B53" s="133">
        <v>6.48</v>
      </c>
      <c r="C53" s="133">
        <f t="shared" ref="C53:C58" si="7">B53*$B$7</f>
        <v>2073.6000000000004</v>
      </c>
      <c r="D53" s="133">
        <f>A$19*$B$5</f>
        <v>20000000</v>
      </c>
      <c r="E53" s="133">
        <f t="shared" ref="E53:E58" si="8">B$19*$B$5</f>
        <v>16000000</v>
      </c>
      <c r="F53" s="133">
        <f t="shared" ref="F53:F58" si="9">C$19*$B$5</f>
        <v>9000000</v>
      </c>
      <c r="G53" s="133">
        <f t="shared" ref="G53:I58" si="10">$C53+D53</f>
        <v>20002073.600000001</v>
      </c>
      <c r="H53" s="133">
        <f t="shared" si="10"/>
        <v>16002073.6</v>
      </c>
      <c r="I53" s="133">
        <f t="shared" si="10"/>
        <v>9002073.5999999996</v>
      </c>
      <c r="J53" s="76"/>
    </row>
    <row r="54" spans="1:10" x14ac:dyDescent="0.15">
      <c r="A54" s="74" t="s">
        <v>77</v>
      </c>
      <c r="B54" s="133">
        <v>7.52</v>
      </c>
      <c r="C54" s="133">
        <f t="shared" si="7"/>
        <v>2406.3999999999996</v>
      </c>
      <c r="D54" s="133">
        <f t="shared" ref="D54:D58" si="11">A$19*$B$5</f>
        <v>20000000</v>
      </c>
      <c r="E54" s="133">
        <f t="shared" si="8"/>
        <v>16000000</v>
      </c>
      <c r="F54" s="133">
        <f t="shared" si="9"/>
        <v>9000000</v>
      </c>
      <c r="G54" s="133">
        <f t="shared" si="10"/>
        <v>20002406.399999999</v>
      </c>
      <c r="H54" s="133">
        <f t="shared" si="10"/>
        <v>16002406.4</v>
      </c>
      <c r="I54" s="133">
        <f t="shared" si="10"/>
        <v>9002406.4000000004</v>
      </c>
      <c r="J54" s="76"/>
    </row>
    <row r="55" spans="1:10" x14ac:dyDescent="0.15">
      <c r="A55" s="74" t="s">
        <v>78</v>
      </c>
      <c r="B55" s="133">
        <v>2.48</v>
      </c>
      <c r="C55" s="133">
        <f t="shared" si="7"/>
        <v>793.6</v>
      </c>
      <c r="D55" s="133">
        <f t="shared" si="11"/>
        <v>20000000</v>
      </c>
      <c r="E55" s="133">
        <f t="shared" si="8"/>
        <v>16000000</v>
      </c>
      <c r="F55" s="133">
        <f t="shared" si="9"/>
        <v>9000000</v>
      </c>
      <c r="G55" s="133">
        <f t="shared" si="10"/>
        <v>20000793.600000001</v>
      </c>
      <c r="H55" s="133">
        <f t="shared" si="10"/>
        <v>16000793.6</v>
      </c>
      <c r="I55" s="133">
        <f t="shared" si="10"/>
        <v>9000793.5999999996</v>
      </c>
      <c r="J55" s="76"/>
    </row>
    <row r="56" spans="1:10" x14ac:dyDescent="0.15">
      <c r="A56" s="74" t="s">
        <v>79</v>
      </c>
      <c r="B56" s="133">
        <v>3.52</v>
      </c>
      <c r="C56" s="133">
        <f t="shared" si="7"/>
        <v>1126.4000000000001</v>
      </c>
      <c r="D56" s="133">
        <f t="shared" si="11"/>
        <v>20000000</v>
      </c>
      <c r="E56" s="133">
        <f t="shared" si="8"/>
        <v>16000000</v>
      </c>
      <c r="F56" s="133">
        <f t="shared" si="9"/>
        <v>9000000</v>
      </c>
      <c r="G56" s="133">
        <f t="shared" si="10"/>
        <v>20001126.399999999</v>
      </c>
      <c r="H56" s="133">
        <f t="shared" si="10"/>
        <v>16001126.4</v>
      </c>
      <c r="I56" s="133">
        <f t="shared" si="10"/>
        <v>9001126.4000000004</v>
      </c>
      <c r="J56" s="76"/>
    </row>
    <row r="57" spans="1:10" x14ac:dyDescent="0.15">
      <c r="A57" s="74" t="s">
        <v>80</v>
      </c>
      <c r="B57" s="133">
        <v>6</v>
      </c>
      <c r="C57" s="133">
        <f t="shared" si="7"/>
        <v>1920</v>
      </c>
      <c r="D57" s="133">
        <f t="shared" si="11"/>
        <v>20000000</v>
      </c>
      <c r="E57" s="133">
        <f t="shared" si="8"/>
        <v>16000000</v>
      </c>
      <c r="F57" s="133">
        <f t="shared" si="9"/>
        <v>9000000</v>
      </c>
      <c r="G57" s="133">
        <f t="shared" si="10"/>
        <v>20001920</v>
      </c>
      <c r="H57" s="133">
        <f t="shared" si="10"/>
        <v>16001920</v>
      </c>
      <c r="I57" s="133">
        <f t="shared" si="10"/>
        <v>9001920</v>
      </c>
      <c r="J57" s="76"/>
    </row>
    <row r="58" spans="1:10" x14ac:dyDescent="0.15">
      <c r="A58" s="74" t="s">
        <v>81</v>
      </c>
      <c r="B58" s="133">
        <v>3.52</v>
      </c>
      <c r="C58" s="133">
        <f t="shared" si="7"/>
        <v>1126.4000000000001</v>
      </c>
      <c r="D58" s="133">
        <f t="shared" si="11"/>
        <v>20000000</v>
      </c>
      <c r="E58" s="133">
        <f t="shared" si="8"/>
        <v>16000000</v>
      </c>
      <c r="F58" s="133">
        <f t="shared" si="9"/>
        <v>9000000</v>
      </c>
      <c r="G58" s="133">
        <f t="shared" si="10"/>
        <v>20001126.399999999</v>
      </c>
      <c r="H58" s="133">
        <f t="shared" si="10"/>
        <v>16001126.4</v>
      </c>
      <c r="I58" s="133">
        <f t="shared" si="10"/>
        <v>9001126.4000000004</v>
      </c>
      <c r="J58" s="76"/>
    </row>
    <row r="59" spans="1:10" x14ac:dyDescent="0.15">
      <c r="A59" s="74"/>
      <c r="B59" s="10"/>
      <c r="C59" s="10"/>
      <c r="D59" s="10"/>
      <c r="E59" s="10"/>
      <c r="F59" s="10"/>
      <c r="G59" s="10"/>
      <c r="H59" s="10"/>
      <c r="I59" s="10"/>
      <c r="J59" s="76"/>
    </row>
    <row r="60" spans="1:10" x14ac:dyDescent="0.15">
      <c r="A60" s="107" t="s">
        <v>99</v>
      </c>
      <c r="B60" s="10"/>
      <c r="C60" s="10"/>
      <c r="D60" s="10"/>
      <c r="E60" s="10"/>
      <c r="F60" s="10"/>
      <c r="G60" s="10"/>
      <c r="H60" s="10"/>
      <c r="I60" s="10"/>
      <c r="J60" s="76"/>
    </row>
    <row r="61" spans="1:10" x14ac:dyDescent="0.15">
      <c r="A61" s="74" t="s">
        <v>89</v>
      </c>
      <c r="B61" s="10" t="s">
        <v>90</v>
      </c>
      <c r="C61" s="10" t="s">
        <v>91</v>
      </c>
      <c r="D61" s="10"/>
      <c r="E61" s="10"/>
      <c r="F61" s="10"/>
      <c r="G61" s="10"/>
      <c r="H61" s="10"/>
      <c r="I61" s="10"/>
      <c r="J61" s="76"/>
    </row>
    <row r="62" spans="1:10" x14ac:dyDescent="0.15">
      <c r="A62" s="74" t="s">
        <v>76</v>
      </c>
      <c r="B62" s="133">
        <v>6.48</v>
      </c>
      <c r="C62" s="133">
        <f t="shared" ref="C62:C67" si="12">B62*$B$7</f>
        <v>2073.6000000000004</v>
      </c>
      <c r="D62" s="133">
        <f>A$19*$B$5</f>
        <v>20000000</v>
      </c>
      <c r="E62" s="133"/>
      <c r="F62" s="133"/>
      <c r="G62" s="133">
        <f t="shared" ref="G62:G67" si="13">$C62+D62</f>
        <v>20002073.600000001</v>
      </c>
      <c r="H62" s="10"/>
      <c r="I62" s="10"/>
      <c r="J62" s="76"/>
    </row>
    <row r="63" spans="1:10" x14ac:dyDescent="0.15">
      <c r="A63" s="74" t="s">
        <v>77</v>
      </c>
      <c r="B63" s="133">
        <v>7.52</v>
      </c>
      <c r="C63" s="133">
        <f t="shared" si="12"/>
        <v>2406.3999999999996</v>
      </c>
      <c r="D63" s="133">
        <f t="shared" ref="D63:D67" si="14">A$19*$B$5</f>
        <v>20000000</v>
      </c>
      <c r="E63" s="133"/>
      <c r="F63" s="133"/>
      <c r="G63" s="133">
        <f t="shared" si="13"/>
        <v>20002406.399999999</v>
      </c>
      <c r="H63" s="10"/>
      <c r="I63" s="10"/>
      <c r="J63" s="76"/>
    </row>
    <row r="64" spans="1:10" x14ac:dyDescent="0.15">
      <c r="A64" s="74" t="s">
        <v>78</v>
      </c>
      <c r="B64" s="133">
        <v>2.48</v>
      </c>
      <c r="C64" s="133">
        <f t="shared" si="12"/>
        <v>793.6</v>
      </c>
      <c r="D64" s="133">
        <f t="shared" si="14"/>
        <v>20000000</v>
      </c>
      <c r="E64" s="133"/>
      <c r="F64" s="133"/>
      <c r="G64" s="133">
        <f t="shared" si="13"/>
        <v>20000793.600000001</v>
      </c>
      <c r="H64" s="10"/>
      <c r="I64" s="10"/>
      <c r="J64" s="76"/>
    </row>
    <row r="65" spans="1:10" x14ac:dyDescent="0.15">
      <c r="A65" s="74" t="s">
        <v>79</v>
      </c>
      <c r="B65" s="133">
        <v>3.52</v>
      </c>
      <c r="C65" s="133">
        <f t="shared" si="12"/>
        <v>1126.4000000000001</v>
      </c>
      <c r="D65" s="133">
        <f t="shared" si="14"/>
        <v>20000000</v>
      </c>
      <c r="E65" s="133"/>
      <c r="F65" s="133"/>
      <c r="G65" s="133">
        <f t="shared" si="13"/>
        <v>20001126.399999999</v>
      </c>
      <c r="H65" s="10"/>
      <c r="I65" s="10"/>
      <c r="J65" s="76"/>
    </row>
    <row r="66" spans="1:10" x14ac:dyDescent="0.15">
      <c r="A66" s="74" t="s">
        <v>80</v>
      </c>
      <c r="B66" s="133">
        <v>6</v>
      </c>
      <c r="C66" s="133">
        <f t="shared" si="12"/>
        <v>1920</v>
      </c>
      <c r="D66" s="133">
        <f t="shared" si="14"/>
        <v>20000000</v>
      </c>
      <c r="E66" s="133"/>
      <c r="F66" s="133"/>
      <c r="G66" s="133">
        <f t="shared" si="13"/>
        <v>20001920</v>
      </c>
      <c r="H66" s="10"/>
      <c r="I66" s="10"/>
      <c r="J66" s="76"/>
    </row>
    <row r="67" spans="1:10" x14ac:dyDescent="0.15">
      <c r="A67" s="74" t="s">
        <v>81</v>
      </c>
      <c r="B67" s="133">
        <v>3.52</v>
      </c>
      <c r="C67" s="133">
        <f t="shared" si="12"/>
        <v>1126.4000000000001</v>
      </c>
      <c r="D67" s="133">
        <f t="shared" si="14"/>
        <v>20000000</v>
      </c>
      <c r="E67" s="133"/>
      <c r="F67" s="133"/>
      <c r="G67" s="133">
        <f t="shared" si="13"/>
        <v>20001126.399999999</v>
      </c>
      <c r="H67" s="10"/>
      <c r="I67" s="10"/>
      <c r="J67" s="76"/>
    </row>
    <row r="68" spans="1:10" x14ac:dyDescent="0.15">
      <c r="A68" s="74"/>
      <c r="B68" s="10"/>
      <c r="C68" s="10"/>
      <c r="D68" s="10"/>
      <c r="E68" s="10"/>
      <c r="F68" s="10"/>
      <c r="G68" s="10"/>
      <c r="H68" s="10"/>
      <c r="I68" s="10"/>
      <c r="J68" s="76"/>
    </row>
    <row r="69" spans="1:10" x14ac:dyDescent="0.15">
      <c r="A69" s="107" t="s">
        <v>100</v>
      </c>
      <c r="B69" s="10"/>
      <c r="C69" s="10"/>
      <c r="D69" s="10"/>
      <c r="E69" s="10"/>
      <c r="F69" s="10"/>
      <c r="G69" s="10"/>
      <c r="H69" s="10"/>
      <c r="I69" s="10"/>
      <c r="J69" s="76"/>
    </row>
    <row r="70" spans="1:10" x14ac:dyDescent="0.15">
      <c r="A70" s="74" t="s">
        <v>89</v>
      </c>
      <c r="B70" s="10" t="s">
        <v>90</v>
      </c>
      <c r="C70" s="10" t="s">
        <v>91</v>
      </c>
      <c r="D70" s="10"/>
      <c r="E70" s="10"/>
      <c r="F70" s="10"/>
      <c r="G70" s="10"/>
      <c r="H70" s="10"/>
      <c r="I70" s="10"/>
      <c r="J70" s="76"/>
    </row>
    <row r="71" spans="1:10" x14ac:dyDescent="0.15">
      <c r="A71" s="74" t="s">
        <v>76</v>
      </c>
      <c r="B71" s="133">
        <v>2.48</v>
      </c>
      <c r="C71" s="133">
        <f t="shared" ref="C71:C76" si="15">B71*$B$7</f>
        <v>793.6</v>
      </c>
      <c r="D71" s="133">
        <f t="shared" ref="D71:E76" si="16">D53*1.3</f>
        <v>26000000</v>
      </c>
      <c r="E71" s="133">
        <f t="shared" si="16"/>
        <v>20800000</v>
      </c>
      <c r="F71" s="133"/>
      <c r="G71" s="133">
        <f t="shared" ref="G71:H76" si="17">$C71+D71</f>
        <v>26000793.600000001</v>
      </c>
      <c r="H71" s="133">
        <f t="shared" si="17"/>
        <v>20800793.600000001</v>
      </c>
      <c r="I71" s="10"/>
      <c r="J71" s="76"/>
    </row>
    <row r="72" spans="1:10" x14ac:dyDescent="0.15">
      <c r="A72" s="74" t="s">
        <v>77</v>
      </c>
      <c r="B72" s="133">
        <v>2</v>
      </c>
      <c r="C72" s="133">
        <f t="shared" si="15"/>
        <v>640</v>
      </c>
      <c r="D72" s="133">
        <f t="shared" si="16"/>
        <v>26000000</v>
      </c>
      <c r="E72" s="133">
        <f t="shared" si="16"/>
        <v>20800000</v>
      </c>
      <c r="F72" s="133"/>
      <c r="G72" s="133">
        <f t="shared" si="17"/>
        <v>26000640</v>
      </c>
      <c r="H72" s="133">
        <f t="shared" si="17"/>
        <v>20800640</v>
      </c>
      <c r="I72" s="10"/>
      <c r="J72" s="76"/>
    </row>
    <row r="73" spans="1:10" x14ac:dyDescent="0.15">
      <c r="A73" s="74" t="s">
        <v>78</v>
      </c>
      <c r="B73" s="133">
        <v>7.04</v>
      </c>
      <c r="C73" s="133">
        <f t="shared" si="15"/>
        <v>2252.8000000000002</v>
      </c>
      <c r="D73" s="133">
        <f t="shared" si="16"/>
        <v>26000000</v>
      </c>
      <c r="E73" s="133">
        <f t="shared" si="16"/>
        <v>20800000</v>
      </c>
      <c r="F73" s="133"/>
      <c r="G73" s="133">
        <f t="shared" si="17"/>
        <v>26002252.800000001</v>
      </c>
      <c r="H73" s="133">
        <f t="shared" si="17"/>
        <v>20802252.800000001</v>
      </c>
      <c r="I73" s="10"/>
      <c r="J73" s="76"/>
    </row>
    <row r="74" spans="1:10" x14ac:dyDescent="0.15">
      <c r="A74" s="74" t="s">
        <v>79</v>
      </c>
      <c r="B74" s="133">
        <v>6.48</v>
      </c>
      <c r="C74" s="133">
        <f t="shared" si="15"/>
        <v>2073.6000000000004</v>
      </c>
      <c r="D74" s="133">
        <f t="shared" si="16"/>
        <v>26000000</v>
      </c>
      <c r="E74" s="133">
        <f t="shared" si="16"/>
        <v>20800000</v>
      </c>
      <c r="F74" s="133"/>
      <c r="G74" s="133">
        <f t="shared" si="17"/>
        <v>26002073.600000001</v>
      </c>
      <c r="H74" s="133">
        <f t="shared" si="17"/>
        <v>20802073.600000001</v>
      </c>
      <c r="I74" s="10"/>
      <c r="J74" s="76"/>
    </row>
    <row r="75" spans="1:10" x14ac:dyDescent="0.15">
      <c r="A75" s="74" t="s">
        <v>80</v>
      </c>
      <c r="B75" s="133">
        <v>6</v>
      </c>
      <c r="C75" s="133">
        <f t="shared" si="15"/>
        <v>1920</v>
      </c>
      <c r="D75" s="133">
        <f t="shared" si="16"/>
        <v>26000000</v>
      </c>
      <c r="E75" s="133">
        <f t="shared" si="16"/>
        <v>20800000</v>
      </c>
      <c r="F75" s="133"/>
      <c r="G75" s="133">
        <f t="shared" si="17"/>
        <v>26001920</v>
      </c>
      <c r="H75" s="133">
        <f t="shared" si="17"/>
        <v>20801920</v>
      </c>
      <c r="I75" s="10"/>
      <c r="J75" s="76"/>
    </row>
    <row r="76" spans="1:10" x14ac:dyDescent="0.15">
      <c r="A76" s="74" t="s">
        <v>81</v>
      </c>
      <c r="B76" s="133">
        <v>6</v>
      </c>
      <c r="C76" s="133">
        <f t="shared" si="15"/>
        <v>1920</v>
      </c>
      <c r="D76" s="133">
        <f t="shared" si="16"/>
        <v>26000000</v>
      </c>
      <c r="E76" s="133">
        <f t="shared" si="16"/>
        <v>20800000</v>
      </c>
      <c r="F76" s="133"/>
      <c r="G76" s="133">
        <f t="shared" si="17"/>
        <v>26001920</v>
      </c>
      <c r="H76" s="133">
        <f t="shared" si="17"/>
        <v>20801920</v>
      </c>
      <c r="I76" s="10"/>
      <c r="J76" s="76"/>
    </row>
    <row r="77" spans="1:10" x14ac:dyDescent="0.15">
      <c r="A77" s="74"/>
      <c r="B77" s="10"/>
      <c r="C77" s="10"/>
      <c r="D77" s="10"/>
      <c r="E77" s="10"/>
      <c r="F77" s="10"/>
      <c r="G77" s="10"/>
      <c r="H77" s="10"/>
      <c r="I77" s="10"/>
      <c r="J77" s="76"/>
    </row>
    <row r="78" spans="1:10" x14ac:dyDescent="0.15">
      <c r="A78" s="108" t="s">
        <v>118</v>
      </c>
      <c r="B78" s="10"/>
      <c r="C78" s="10"/>
      <c r="D78" s="10"/>
      <c r="E78" s="10"/>
      <c r="F78" s="10"/>
      <c r="G78" s="10"/>
      <c r="H78" s="10"/>
      <c r="I78" s="10"/>
      <c r="J78" s="76"/>
    </row>
    <row r="79" spans="1:10" x14ac:dyDescent="0.15">
      <c r="A79" s="74" t="s">
        <v>89</v>
      </c>
      <c r="B79" s="10" t="s">
        <v>90</v>
      </c>
      <c r="C79" s="10" t="s">
        <v>91</v>
      </c>
      <c r="D79" s="10"/>
      <c r="E79" s="10"/>
      <c r="F79" s="10"/>
      <c r="G79" s="10"/>
      <c r="H79" s="10"/>
      <c r="I79" s="10"/>
      <c r="J79" s="76"/>
    </row>
    <row r="80" spans="1:10" x14ac:dyDescent="0.15">
      <c r="A80" s="74" t="s">
        <v>76</v>
      </c>
      <c r="B80" s="133">
        <v>6.48</v>
      </c>
      <c r="C80" s="133">
        <f t="shared" ref="C80:C85" si="18">B80*$B$7</f>
        <v>2073.6000000000004</v>
      </c>
      <c r="D80" s="133"/>
      <c r="E80" s="133">
        <f t="shared" ref="E80:E85" si="19">B$19*$B$5</f>
        <v>16000000</v>
      </c>
      <c r="F80" s="133">
        <f t="shared" ref="F80:F85" si="20">C$19*$B$5</f>
        <v>9000000</v>
      </c>
      <c r="G80" s="133"/>
      <c r="H80" s="133">
        <f t="shared" ref="H80:I85" si="21">$C80+E80</f>
        <v>16002073.6</v>
      </c>
      <c r="I80" s="133">
        <f t="shared" si="21"/>
        <v>9002073.5999999996</v>
      </c>
      <c r="J80" s="76"/>
    </row>
    <row r="81" spans="1:10" x14ac:dyDescent="0.15">
      <c r="A81" s="74" t="s">
        <v>77</v>
      </c>
      <c r="B81" s="133">
        <v>7.52</v>
      </c>
      <c r="C81" s="133">
        <f t="shared" si="18"/>
        <v>2406.3999999999996</v>
      </c>
      <c r="D81" s="133"/>
      <c r="E81" s="133">
        <f t="shared" si="19"/>
        <v>16000000</v>
      </c>
      <c r="F81" s="133">
        <f t="shared" si="20"/>
        <v>9000000</v>
      </c>
      <c r="G81" s="133"/>
      <c r="H81" s="133">
        <f t="shared" si="21"/>
        <v>16002406.4</v>
      </c>
      <c r="I81" s="133">
        <f t="shared" si="21"/>
        <v>9002406.4000000004</v>
      </c>
      <c r="J81" s="76"/>
    </row>
    <row r="82" spans="1:10" x14ac:dyDescent="0.15">
      <c r="A82" s="74" t="s">
        <v>78</v>
      </c>
      <c r="B82" s="133">
        <v>2.48</v>
      </c>
      <c r="C82" s="133">
        <f t="shared" si="18"/>
        <v>793.6</v>
      </c>
      <c r="D82" s="133"/>
      <c r="E82" s="133">
        <f t="shared" si="19"/>
        <v>16000000</v>
      </c>
      <c r="F82" s="133">
        <f t="shared" si="20"/>
        <v>9000000</v>
      </c>
      <c r="G82" s="133"/>
      <c r="H82" s="133">
        <f t="shared" si="21"/>
        <v>16000793.6</v>
      </c>
      <c r="I82" s="133">
        <f t="shared" si="21"/>
        <v>9000793.5999999996</v>
      </c>
      <c r="J82" s="76"/>
    </row>
    <row r="83" spans="1:10" x14ac:dyDescent="0.15">
      <c r="A83" s="74" t="s">
        <v>79</v>
      </c>
      <c r="B83" s="133">
        <v>3.52</v>
      </c>
      <c r="C83" s="133">
        <f t="shared" si="18"/>
        <v>1126.4000000000001</v>
      </c>
      <c r="D83" s="133"/>
      <c r="E83" s="133">
        <f t="shared" si="19"/>
        <v>16000000</v>
      </c>
      <c r="F83" s="133">
        <f t="shared" si="20"/>
        <v>9000000</v>
      </c>
      <c r="G83" s="133"/>
      <c r="H83" s="133">
        <f t="shared" si="21"/>
        <v>16001126.4</v>
      </c>
      <c r="I83" s="133">
        <f t="shared" si="21"/>
        <v>9001126.4000000004</v>
      </c>
      <c r="J83" s="76"/>
    </row>
    <row r="84" spans="1:10" x14ac:dyDescent="0.15">
      <c r="A84" s="74" t="s">
        <v>80</v>
      </c>
      <c r="B84" s="133">
        <v>6</v>
      </c>
      <c r="C84" s="133">
        <f t="shared" si="18"/>
        <v>1920</v>
      </c>
      <c r="D84" s="133"/>
      <c r="E84" s="133">
        <f t="shared" si="19"/>
        <v>16000000</v>
      </c>
      <c r="F84" s="133">
        <f t="shared" si="20"/>
        <v>9000000</v>
      </c>
      <c r="G84" s="133"/>
      <c r="H84" s="133">
        <f t="shared" si="21"/>
        <v>16001920</v>
      </c>
      <c r="I84" s="133">
        <f t="shared" si="21"/>
        <v>9001920</v>
      </c>
      <c r="J84" s="76"/>
    </row>
    <row r="85" spans="1:10" x14ac:dyDescent="0.15">
      <c r="A85" s="74" t="s">
        <v>81</v>
      </c>
      <c r="B85" s="133">
        <v>3.52</v>
      </c>
      <c r="C85" s="133">
        <f t="shared" si="18"/>
        <v>1126.4000000000001</v>
      </c>
      <c r="D85" s="133"/>
      <c r="E85" s="133">
        <f t="shared" si="19"/>
        <v>16000000</v>
      </c>
      <c r="F85" s="133">
        <f t="shared" si="20"/>
        <v>9000000</v>
      </c>
      <c r="G85" s="133"/>
      <c r="H85" s="133">
        <f t="shared" si="21"/>
        <v>16001126.4</v>
      </c>
      <c r="I85" s="133">
        <f t="shared" si="21"/>
        <v>9001126.4000000004</v>
      </c>
      <c r="J85" s="76"/>
    </row>
    <row r="86" spans="1:10" x14ac:dyDescent="0.15">
      <c r="A86" s="74"/>
      <c r="B86" s="10"/>
      <c r="C86" s="10"/>
      <c r="D86" s="10"/>
      <c r="E86" s="10"/>
      <c r="F86" s="10"/>
      <c r="G86" s="10"/>
      <c r="H86" s="10"/>
      <c r="I86" s="10"/>
      <c r="J86" s="76"/>
    </row>
    <row r="87" spans="1:10" x14ac:dyDescent="0.15">
      <c r="A87" s="107" t="s">
        <v>101</v>
      </c>
      <c r="B87" s="10"/>
      <c r="C87" s="10"/>
      <c r="D87" s="10"/>
      <c r="E87" s="10"/>
      <c r="F87" s="10"/>
      <c r="G87" s="10"/>
      <c r="H87" s="10"/>
      <c r="I87" s="10"/>
      <c r="J87" s="76"/>
    </row>
    <row r="88" spans="1:10" x14ac:dyDescent="0.15">
      <c r="A88" s="74" t="s">
        <v>89</v>
      </c>
      <c r="B88" s="10" t="s">
        <v>90</v>
      </c>
      <c r="C88" s="10" t="s">
        <v>91</v>
      </c>
      <c r="D88" s="10"/>
      <c r="E88" s="10"/>
      <c r="F88" s="10"/>
      <c r="G88" s="10"/>
      <c r="H88" s="10"/>
      <c r="I88" s="10"/>
      <c r="J88" s="76"/>
    </row>
    <row r="89" spans="1:10" x14ac:dyDescent="0.15">
      <c r="A89" s="74" t="s">
        <v>76</v>
      </c>
      <c r="B89" s="133">
        <v>6.48</v>
      </c>
      <c r="C89" s="133">
        <f t="shared" ref="C89:C94" si="22">B89*$B$7</f>
        <v>2073.6000000000004</v>
      </c>
      <c r="D89" s="133">
        <f t="shared" ref="D89:E94" si="23">D53*1.2</f>
        <v>24000000</v>
      </c>
      <c r="E89" s="133">
        <f t="shared" si="23"/>
        <v>19200000</v>
      </c>
      <c r="F89" s="133">
        <f t="shared" ref="F89:F94" si="24">$F53*1.2</f>
        <v>10800000</v>
      </c>
      <c r="G89" s="133">
        <f t="shared" ref="G89:I94" si="25">$C89+D89</f>
        <v>24002073.600000001</v>
      </c>
      <c r="H89" s="133">
        <f t="shared" si="25"/>
        <v>19202073.600000001</v>
      </c>
      <c r="I89" s="133">
        <f t="shared" si="25"/>
        <v>10802073.6</v>
      </c>
      <c r="J89" s="76"/>
    </row>
    <row r="90" spans="1:10" x14ac:dyDescent="0.15">
      <c r="A90" s="74" t="s">
        <v>77</v>
      </c>
      <c r="B90" s="133">
        <v>7.52</v>
      </c>
      <c r="C90" s="133">
        <f t="shared" si="22"/>
        <v>2406.3999999999996</v>
      </c>
      <c r="D90" s="133">
        <f t="shared" si="23"/>
        <v>24000000</v>
      </c>
      <c r="E90" s="133">
        <f t="shared" si="23"/>
        <v>19200000</v>
      </c>
      <c r="F90" s="133">
        <f t="shared" si="24"/>
        <v>10800000</v>
      </c>
      <c r="G90" s="133">
        <f t="shared" si="25"/>
        <v>24002406.399999999</v>
      </c>
      <c r="H90" s="133">
        <f t="shared" si="25"/>
        <v>19202406.399999999</v>
      </c>
      <c r="I90" s="133">
        <f t="shared" si="25"/>
        <v>10802406.4</v>
      </c>
      <c r="J90" s="76"/>
    </row>
    <row r="91" spans="1:10" x14ac:dyDescent="0.15">
      <c r="A91" s="74" t="s">
        <v>78</v>
      </c>
      <c r="B91" s="133">
        <v>3.04</v>
      </c>
      <c r="C91" s="133">
        <f t="shared" si="22"/>
        <v>972.8</v>
      </c>
      <c r="D91" s="133">
        <f t="shared" si="23"/>
        <v>24000000</v>
      </c>
      <c r="E91" s="133">
        <f t="shared" si="23"/>
        <v>19200000</v>
      </c>
      <c r="F91" s="133">
        <f t="shared" si="24"/>
        <v>10800000</v>
      </c>
      <c r="G91" s="133">
        <f t="shared" si="25"/>
        <v>24000972.800000001</v>
      </c>
      <c r="H91" s="133">
        <f t="shared" si="25"/>
        <v>19200972.800000001</v>
      </c>
      <c r="I91" s="133">
        <f t="shared" si="25"/>
        <v>10800972.800000001</v>
      </c>
      <c r="J91" s="76"/>
    </row>
    <row r="92" spans="1:10" x14ac:dyDescent="0.15">
      <c r="A92" s="74" t="s">
        <v>79</v>
      </c>
      <c r="B92" s="133">
        <v>2.48</v>
      </c>
      <c r="C92" s="133">
        <f t="shared" si="22"/>
        <v>793.6</v>
      </c>
      <c r="D92" s="133">
        <f t="shared" si="23"/>
        <v>24000000</v>
      </c>
      <c r="E92" s="133">
        <f t="shared" si="23"/>
        <v>19200000</v>
      </c>
      <c r="F92" s="133">
        <f t="shared" si="24"/>
        <v>10800000</v>
      </c>
      <c r="G92" s="133">
        <f t="shared" si="25"/>
        <v>24000793.600000001</v>
      </c>
      <c r="H92" s="133">
        <f t="shared" si="25"/>
        <v>19200793.600000001</v>
      </c>
      <c r="I92" s="133">
        <f t="shared" si="25"/>
        <v>10800793.6</v>
      </c>
      <c r="J92" s="76"/>
    </row>
    <row r="93" spans="1:10" x14ac:dyDescent="0.15">
      <c r="A93" s="74" t="s">
        <v>80</v>
      </c>
      <c r="B93" s="133">
        <v>6</v>
      </c>
      <c r="C93" s="133">
        <f t="shared" si="22"/>
        <v>1920</v>
      </c>
      <c r="D93" s="133">
        <f t="shared" si="23"/>
        <v>24000000</v>
      </c>
      <c r="E93" s="133">
        <f t="shared" si="23"/>
        <v>19200000</v>
      </c>
      <c r="F93" s="133">
        <f t="shared" si="24"/>
        <v>10800000</v>
      </c>
      <c r="G93" s="133">
        <f t="shared" si="25"/>
        <v>24001920</v>
      </c>
      <c r="H93" s="133">
        <f t="shared" si="25"/>
        <v>19201920</v>
      </c>
      <c r="I93" s="133">
        <f t="shared" si="25"/>
        <v>10801920</v>
      </c>
      <c r="J93" s="76"/>
    </row>
    <row r="94" spans="1:10" x14ac:dyDescent="0.15">
      <c r="A94" s="74" t="s">
        <v>81</v>
      </c>
      <c r="B94" s="133">
        <v>1.52</v>
      </c>
      <c r="C94" s="133">
        <f t="shared" si="22"/>
        <v>486.4</v>
      </c>
      <c r="D94" s="133">
        <f t="shared" si="23"/>
        <v>24000000</v>
      </c>
      <c r="E94" s="133">
        <f t="shared" si="23"/>
        <v>19200000</v>
      </c>
      <c r="F94" s="133">
        <f t="shared" si="24"/>
        <v>10800000</v>
      </c>
      <c r="G94" s="133">
        <f t="shared" si="25"/>
        <v>24000486.399999999</v>
      </c>
      <c r="H94" s="133">
        <f t="shared" si="25"/>
        <v>19200486.399999999</v>
      </c>
      <c r="I94" s="133">
        <f t="shared" si="25"/>
        <v>10800486.4</v>
      </c>
      <c r="J94" s="76"/>
    </row>
    <row r="95" spans="1:10" ht="14" thickBot="1" x14ac:dyDescent="0.2">
      <c r="A95" s="77"/>
      <c r="B95" s="78"/>
      <c r="C95" s="78"/>
      <c r="D95" s="78"/>
      <c r="E95" s="78"/>
      <c r="F95" s="78"/>
      <c r="G95" s="78"/>
      <c r="H95" s="78"/>
      <c r="I95" s="78"/>
      <c r="J95" s="79"/>
    </row>
    <row r="100" spans="1:8" ht="29" thickBot="1" x14ac:dyDescent="0.35">
      <c r="A100" s="115" t="s">
        <v>111</v>
      </c>
      <c r="B100" s="115"/>
      <c r="C100" s="115"/>
      <c r="D100" s="115"/>
      <c r="E100" s="115"/>
      <c r="F100" s="115"/>
      <c r="G100" s="115"/>
      <c r="H100" s="115"/>
    </row>
    <row r="102" spans="1:8" x14ac:dyDescent="0.15">
      <c r="A102" s="11" t="s">
        <v>102</v>
      </c>
      <c r="B102" s="41" t="s">
        <v>103</v>
      </c>
    </row>
    <row r="103" spans="1:8" x14ac:dyDescent="0.15">
      <c r="A103" s="11" t="s">
        <v>104</v>
      </c>
      <c r="B103" s="41" t="s">
        <v>105</v>
      </c>
    </row>
    <row r="104" spans="1:8" x14ac:dyDescent="0.15">
      <c r="A104" s="11" t="s">
        <v>106</v>
      </c>
      <c r="B104" s="41" t="s">
        <v>107</v>
      </c>
    </row>
    <row r="105" spans="1:8" x14ac:dyDescent="0.15">
      <c r="A105" s="11" t="s">
        <v>108</v>
      </c>
      <c r="B105" s="41" t="s">
        <v>109</v>
      </c>
    </row>
    <row r="106" spans="1:8" x14ac:dyDescent="0.15">
      <c r="A106" s="11" t="s">
        <v>108</v>
      </c>
      <c r="B106" s="41" t="s">
        <v>120</v>
      </c>
    </row>
  </sheetData>
  <mergeCells count="14">
    <mergeCell ref="D42:F42"/>
    <mergeCell ref="G42:I42"/>
    <mergeCell ref="B42:C42"/>
    <mergeCell ref="O2:AD3"/>
    <mergeCell ref="M25:R25"/>
    <mergeCell ref="S25:X25"/>
    <mergeCell ref="Y25:AD25"/>
    <mergeCell ref="A12:C12"/>
    <mergeCell ref="A37:J37"/>
    <mergeCell ref="A16:C16"/>
    <mergeCell ref="A22:C22"/>
    <mergeCell ref="A27:C27"/>
    <mergeCell ref="A2:E2"/>
    <mergeCell ref="A10:E10"/>
  </mergeCells>
  <phoneticPr fontId="18" type="noConversion"/>
  <hyperlinks>
    <hyperlink ref="B104" r:id="rId1" xr:uid="{1827FB9F-D8AD-4BD9-9F96-16787ADD69CD}"/>
    <hyperlink ref="B102" r:id="rId2" xr:uid="{FF1631A1-4B63-4667-82DD-F9A5EC4E87C2}"/>
    <hyperlink ref="B105" r:id="rId3" xr:uid="{A69997AE-0DC3-7540-8BC8-E3AB72834D60}"/>
    <hyperlink ref="B106" r:id="rId4" xr:uid="{2F3C1494-96A0-C14C-BD11-14F130692190}"/>
    <hyperlink ref="B103" r:id="rId5" xr:uid="{E304AC06-C51A-F440-B6C1-359989F9020D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TSMC</vt:lpstr>
      <vt:lpstr>Rates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Sunil Chopra</dc:creator>
  <cp:keywords/>
  <dc:description/>
  <cp:lastModifiedBy>Michael Kakkar</cp:lastModifiedBy>
  <cp:revision/>
  <dcterms:created xsi:type="dcterms:W3CDTF">2002-04-12T14:17:13Z</dcterms:created>
  <dcterms:modified xsi:type="dcterms:W3CDTF">2026-06-13T15:28:56Z</dcterms:modified>
  <cp:category/>
  <cp:contentStatus/>
</cp:coreProperties>
</file>